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Desglosados\RD_model_NDC_Energy_A2\A1_Outputs\"/>
    </mc:Choice>
  </mc:AlternateContent>
  <xr:revisionPtr revIDLastSave="0" documentId="13_ncr:1_{BDDFC6FC-D62A-481F-9C97-66C5C42453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Other_Techs" sheetId="8" r:id="rId5"/>
    <sheet name="Vehicle Techs" sheetId="6" r:id="rId6"/>
    <sheet name="Vehicle Groups" sheetId="7" r:id="rId7"/>
    <sheet name="Transport Fuel Distribution" sheetId="5" r:id="rId8"/>
  </sheets>
  <definedNames>
    <definedName name="_xlnm._FilterDatabase" localSheetId="3" hidden="1">'Demand Techs'!$A$1:$AO$106</definedName>
    <definedName name="_xlnm._FilterDatabase" localSheetId="0" hidden="1">'Fixed Horizon Parameters'!$A$1:$I$1</definedName>
    <definedName name="_xlnm._FilterDatabase" localSheetId="1" hidden="1">'Primary Techs'!$A$1:$AQ$261</definedName>
    <definedName name="_xlnm._FilterDatabase" localSheetId="2" hidden="1">'Secondary Techs'!$A$1:$AP$271</definedName>
    <definedName name="_xlnm._FilterDatabase" localSheetId="5" hidden="1">'Vehicle Techs'!$A$1:$AP$221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96" i="3" l="1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Q98" i="3"/>
  <c r="P98" i="3"/>
  <c r="N100" i="3"/>
  <c r="K100" i="3"/>
  <c r="L100" i="3"/>
  <c r="M100" i="3"/>
  <c r="J100" i="3"/>
  <c r="P96" i="3"/>
  <c r="Q96" i="3"/>
  <c r="R96" i="3"/>
  <c r="S96" i="3" s="1"/>
  <c r="T96" i="3" s="1"/>
  <c r="U96" i="3" s="1"/>
  <c r="V96" i="3" s="1"/>
  <c r="W96" i="3" s="1"/>
  <c r="X96" i="3" s="1"/>
  <c r="Y96" i="3" s="1"/>
  <c r="Z96" i="3" s="1"/>
  <c r="AA96" i="3" s="1"/>
  <c r="AB96" i="3" s="1"/>
  <c r="AC96" i="3" s="1"/>
  <c r="AD96" i="3" s="1"/>
  <c r="AE96" i="3" s="1"/>
  <c r="AF96" i="3" s="1"/>
  <c r="AG96" i="3" s="1"/>
  <c r="AH96" i="3" s="1"/>
  <c r="AI96" i="3" s="1"/>
  <c r="AJ96" i="3" s="1"/>
  <c r="AK96" i="3" s="1"/>
  <c r="AL96" i="3" s="1"/>
  <c r="AM96" i="3" s="1"/>
  <c r="AN96" i="3" s="1"/>
  <c r="AO96" i="3" s="1"/>
  <c r="P95" i="3"/>
  <c r="Q95" i="3" s="1"/>
  <c r="R95" i="3" s="1"/>
  <c r="S95" i="3" s="1"/>
  <c r="T95" i="3" s="1"/>
  <c r="U95" i="3" s="1"/>
  <c r="V95" i="3" s="1"/>
  <c r="W95" i="3" s="1"/>
  <c r="X95" i="3" s="1"/>
  <c r="Y95" i="3" s="1"/>
  <c r="Z95" i="3" s="1"/>
  <c r="AA95" i="3" s="1"/>
  <c r="AB95" i="3" s="1"/>
  <c r="AC95" i="3" s="1"/>
  <c r="AD95" i="3" s="1"/>
  <c r="AE95" i="3" s="1"/>
  <c r="AF95" i="3" s="1"/>
  <c r="AG95" i="3" s="1"/>
  <c r="AH95" i="3" s="1"/>
  <c r="AI95" i="3" s="1"/>
  <c r="AJ95" i="3" s="1"/>
  <c r="AK95" i="3" s="1"/>
  <c r="AL95" i="3" s="1"/>
  <c r="AM95" i="3" s="1"/>
  <c r="AN95" i="3" s="1"/>
  <c r="AO95" i="3" s="1"/>
  <c r="AP95" i="3" s="1"/>
  <c r="O95" i="3"/>
  <c r="O96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Q128" i="3"/>
  <c r="R128" i="3"/>
  <c r="S128" i="3"/>
  <c r="T128" i="3"/>
  <c r="U128" i="3"/>
  <c r="V128" i="3"/>
  <c r="P128" i="3"/>
  <c r="Q126" i="3"/>
  <c r="R126" i="3"/>
  <c r="S126" i="3" s="1"/>
  <c r="T126" i="3" s="1"/>
  <c r="U126" i="3" s="1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AG126" i="3" s="1"/>
  <c r="AH126" i="3" s="1"/>
  <c r="AI126" i="3" s="1"/>
  <c r="AJ126" i="3" s="1"/>
  <c r="AK126" i="3" s="1"/>
  <c r="AL126" i="3" s="1"/>
  <c r="AM126" i="3" s="1"/>
  <c r="AN126" i="3" s="1"/>
  <c r="AO126" i="3" s="1"/>
  <c r="AP126" i="3" s="1"/>
  <c r="P126" i="3"/>
  <c r="Q170" i="2"/>
  <c r="R170" i="2"/>
  <c r="S170" i="2"/>
  <c r="T170" i="2"/>
  <c r="U170" i="2"/>
  <c r="V170" i="2"/>
  <c r="W170" i="2"/>
  <c r="X170" i="2" s="1"/>
  <c r="Y170" i="2" s="1"/>
  <c r="Z170" i="2" s="1"/>
  <c r="AA170" i="2" s="1"/>
  <c r="AB170" i="2" s="1"/>
  <c r="AC170" i="2" s="1"/>
  <c r="AD170" i="2" s="1"/>
  <c r="AE170" i="2" s="1"/>
  <c r="AF170" i="2" s="1"/>
  <c r="AG170" i="2" s="1"/>
  <c r="AH170" i="2" s="1"/>
  <c r="AI170" i="2" s="1"/>
  <c r="AJ170" i="2" s="1"/>
  <c r="AK170" i="2" s="1"/>
  <c r="AL170" i="2" s="1"/>
  <c r="AM170" i="2" s="1"/>
  <c r="AN170" i="2" s="1"/>
  <c r="AO170" i="2" s="1"/>
  <c r="AP170" i="2" s="1"/>
  <c r="Q180" i="2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AG180" i="2" s="1"/>
  <c r="AH180" i="2" s="1"/>
  <c r="AI180" i="2" s="1"/>
  <c r="AJ180" i="2" s="1"/>
  <c r="AK180" i="2" s="1"/>
  <c r="AL180" i="2" s="1"/>
  <c r="AM180" i="2" s="1"/>
  <c r="AN180" i="2" s="1"/>
  <c r="AO180" i="2" s="1"/>
  <c r="AP180" i="2" s="1"/>
  <c r="P180" i="2"/>
  <c r="P170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P208" i="2"/>
  <c r="Q206" i="2"/>
  <c r="R206" i="2" s="1"/>
  <c r="S206" i="2" s="1"/>
  <c r="T206" i="2" s="1"/>
  <c r="U206" i="2" s="1"/>
  <c r="V206" i="2" s="1"/>
  <c r="W206" i="2" s="1"/>
  <c r="X206" i="2" s="1"/>
  <c r="Y206" i="2" s="1"/>
  <c r="Z206" i="2" s="1"/>
  <c r="AA206" i="2" s="1"/>
  <c r="AB206" i="2" s="1"/>
  <c r="AC206" i="2" s="1"/>
  <c r="AD206" i="2" s="1"/>
  <c r="AE206" i="2" s="1"/>
  <c r="AF206" i="2" s="1"/>
  <c r="AG206" i="2" s="1"/>
  <c r="AH206" i="2" s="1"/>
  <c r="AI206" i="2" s="1"/>
  <c r="AJ206" i="2" s="1"/>
  <c r="AK206" i="2" s="1"/>
  <c r="AL206" i="2" s="1"/>
  <c r="AM206" i="2" s="1"/>
  <c r="AN206" i="2" s="1"/>
  <c r="AO206" i="2" s="1"/>
  <c r="AP206" i="2" s="1"/>
  <c r="P206" i="2"/>
  <c r="Q140" i="2"/>
  <c r="R140" i="2"/>
  <c r="S140" i="2" s="1"/>
  <c r="P140" i="2"/>
  <c r="P138" i="2" s="1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P78" i="3"/>
  <c r="Q76" i="3"/>
  <c r="R76" i="3" s="1"/>
  <c r="S76" i="3" s="1"/>
  <c r="T76" i="3" s="1"/>
  <c r="U76" i="3" s="1"/>
  <c r="V76" i="3" s="1"/>
  <c r="W76" i="3" s="1"/>
  <c r="X76" i="3" s="1"/>
  <c r="Y76" i="3" s="1"/>
  <c r="Z76" i="3" s="1"/>
  <c r="AA76" i="3" s="1"/>
  <c r="AB76" i="3" s="1"/>
  <c r="AC76" i="3" s="1"/>
  <c r="AD76" i="3" s="1"/>
  <c r="AE76" i="3" s="1"/>
  <c r="AF76" i="3" s="1"/>
  <c r="AG76" i="3" s="1"/>
  <c r="AH76" i="3" s="1"/>
  <c r="AI76" i="3" s="1"/>
  <c r="AJ76" i="3" s="1"/>
  <c r="AK76" i="3" s="1"/>
  <c r="AL76" i="3" s="1"/>
  <c r="AM76" i="3" s="1"/>
  <c r="AN76" i="3" s="1"/>
  <c r="AO76" i="3" s="1"/>
  <c r="AP76" i="3" s="1"/>
  <c r="P76" i="3"/>
  <c r="O116" i="3"/>
  <c r="R120" i="3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AH120" i="3" s="1"/>
  <c r="AI120" i="3" s="1"/>
  <c r="AJ120" i="3" s="1"/>
  <c r="AK120" i="3" s="1"/>
  <c r="AL120" i="3" s="1"/>
  <c r="AM120" i="3" s="1"/>
  <c r="AN120" i="3" s="1"/>
  <c r="AO120" i="3" s="1"/>
  <c r="AP120" i="3" s="1"/>
  <c r="Q120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S48" i="3"/>
  <c r="T46" i="3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AK46" i="3" s="1"/>
  <c r="AL46" i="3" s="1"/>
  <c r="AM46" i="3" s="1"/>
  <c r="AN46" i="3" s="1"/>
  <c r="AO46" i="3" s="1"/>
  <c r="AP46" i="3" s="1"/>
  <c r="S46" i="3"/>
  <c r="L138" i="2"/>
  <c r="M138" i="2"/>
  <c r="N138" i="2"/>
  <c r="O138" i="2"/>
  <c r="Q138" i="2"/>
  <c r="K138" i="2"/>
  <c r="J138" i="2"/>
  <c r="S136" i="2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AG136" i="2" s="1"/>
  <c r="AH136" i="2" s="1"/>
  <c r="AI136" i="2" s="1"/>
  <c r="AJ136" i="2" s="1"/>
  <c r="AK136" i="2" s="1"/>
  <c r="AL136" i="2" s="1"/>
  <c r="AM136" i="2" s="1"/>
  <c r="AN136" i="2" s="1"/>
  <c r="AO136" i="2" s="1"/>
  <c r="AP136" i="2" s="1"/>
  <c r="R136" i="2"/>
  <c r="P166" i="2"/>
  <c r="P176" i="2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AG176" i="2" s="1"/>
  <c r="AH176" i="2" s="1"/>
  <c r="AI176" i="2" s="1"/>
  <c r="AJ176" i="2" s="1"/>
  <c r="AK176" i="2" s="1"/>
  <c r="AL176" i="2" s="1"/>
  <c r="AM176" i="2" s="1"/>
  <c r="AN176" i="2" s="1"/>
  <c r="AO176" i="2" s="1"/>
  <c r="AP176" i="2" s="1"/>
  <c r="B338" i="1"/>
  <c r="B340" i="1" s="1"/>
  <c r="B341" i="1" s="1"/>
  <c r="O187" i="3"/>
  <c r="O177" i="3"/>
  <c r="O117" i="2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AG117" i="2" s="1"/>
  <c r="AH117" i="2" s="1"/>
  <c r="AI117" i="2" s="1"/>
  <c r="AJ117" i="2" s="1"/>
  <c r="AK117" i="2" s="1"/>
  <c r="AL117" i="2" s="1"/>
  <c r="AM117" i="2" s="1"/>
  <c r="AN117" i="2" s="1"/>
  <c r="AO117" i="2" s="1"/>
  <c r="AP117" i="2" s="1"/>
  <c r="P168" i="2" l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AG168" i="2" s="1"/>
  <c r="AH168" i="2" s="1"/>
  <c r="AI168" i="2" s="1"/>
  <c r="AJ168" i="2" s="1"/>
  <c r="AK168" i="2" s="1"/>
  <c r="AL168" i="2" s="1"/>
  <c r="AM168" i="2" s="1"/>
  <c r="AN168" i="2" s="1"/>
  <c r="AO168" i="2" s="1"/>
  <c r="AP168" i="2" s="1"/>
  <c r="T140" i="2"/>
  <c r="S138" i="2"/>
  <c r="R138" i="2"/>
  <c r="P178" i="2"/>
  <c r="Q178" i="2" s="1"/>
  <c r="R178" i="2" s="1"/>
  <c r="S178" i="2" s="1"/>
  <c r="T178" i="2" s="1"/>
  <c r="U178" i="2" s="1"/>
  <c r="V178" i="2" s="1"/>
  <c r="W178" i="2" s="1"/>
  <c r="X178" i="2" s="1"/>
  <c r="Y178" i="2" s="1"/>
  <c r="Z178" i="2" s="1"/>
  <c r="AA178" i="2" s="1"/>
  <c r="AB178" i="2" s="1"/>
  <c r="AC178" i="2" s="1"/>
  <c r="AD178" i="2" s="1"/>
  <c r="AE178" i="2" s="1"/>
  <c r="AF178" i="2" s="1"/>
  <c r="AG178" i="2" s="1"/>
  <c r="AH178" i="2" s="1"/>
  <c r="AI178" i="2" s="1"/>
  <c r="AJ178" i="2" s="1"/>
  <c r="AK178" i="2" s="1"/>
  <c r="AL178" i="2" s="1"/>
  <c r="AM178" i="2" s="1"/>
  <c r="AN178" i="2" s="1"/>
  <c r="AO178" i="2" s="1"/>
  <c r="AP178" i="2" s="1"/>
  <c r="Q166" i="2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AG166" i="2" s="1"/>
  <c r="AH166" i="2" s="1"/>
  <c r="AI166" i="2" s="1"/>
  <c r="AJ166" i="2" s="1"/>
  <c r="AK166" i="2" s="1"/>
  <c r="AL166" i="2" s="1"/>
  <c r="AM166" i="2" s="1"/>
  <c r="AN166" i="2" s="1"/>
  <c r="AO166" i="2" s="1"/>
  <c r="AP166" i="2" s="1"/>
  <c r="B339" i="1"/>
  <c r="O97" i="2"/>
  <c r="P97" i="2" s="1"/>
  <c r="Q97" i="2" s="1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C97" i="2" s="1"/>
  <c r="AD97" i="2" s="1"/>
  <c r="AE97" i="2" s="1"/>
  <c r="AF97" i="2" s="1"/>
  <c r="AG97" i="2" s="1"/>
  <c r="AH97" i="2" s="1"/>
  <c r="AI97" i="2" s="1"/>
  <c r="AJ97" i="2" s="1"/>
  <c r="AK97" i="2" s="1"/>
  <c r="AL97" i="2" s="1"/>
  <c r="AM97" i="2" s="1"/>
  <c r="AN97" i="2" s="1"/>
  <c r="AO97" i="2" s="1"/>
  <c r="AP97" i="2" s="1"/>
  <c r="U140" i="2" l="1"/>
  <c r="T138" i="2"/>
  <c r="A92" i="2"/>
  <c r="A102" i="2" s="1"/>
  <c r="B20" i="1"/>
  <c r="B21" i="1" s="1"/>
  <c r="J230" i="2"/>
  <c r="P230" i="3"/>
  <c r="Q230" i="3" s="1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AC230" i="3" s="1"/>
  <c r="AD230" i="3" s="1"/>
  <c r="AE230" i="3" s="1"/>
  <c r="AF230" i="3" s="1"/>
  <c r="AG230" i="3" s="1"/>
  <c r="AH230" i="3" s="1"/>
  <c r="AI230" i="3" s="1"/>
  <c r="AJ230" i="3" s="1"/>
  <c r="AK230" i="3" s="1"/>
  <c r="AL230" i="3" s="1"/>
  <c r="AM230" i="3" s="1"/>
  <c r="AN230" i="3" s="1"/>
  <c r="AO230" i="3" s="1"/>
  <c r="AP230" i="3" s="1"/>
  <c r="O228" i="3"/>
  <c r="P228" i="3" s="1"/>
  <c r="Q228" i="3" s="1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AC228" i="3" s="1"/>
  <c r="AD228" i="3" s="1"/>
  <c r="AE228" i="3" s="1"/>
  <c r="AF228" i="3" s="1"/>
  <c r="AG228" i="3" s="1"/>
  <c r="AH228" i="3" s="1"/>
  <c r="AI228" i="3" s="1"/>
  <c r="AJ228" i="3" s="1"/>
  <c r="AK228" i="3" s="1"/>
  <c r="AL228" i="3" s="1"/>
  <c r="AM228" i="3" s="1"/>
  <c r="AN228" i="3" s="1"/>
  <c r="AO228" i="3" s="1"/>
  <c r="AP228" i="3" s="1"/>
  <c r="N228" i="3"/>
  <c r="M228" i="3"/>
  <c r="L228" i="3"/>
  <c r="K228" i="3"/>
  <c r="J228" i="3"/>
  <c r="P227" i="3"/>
  <c r="Q227" i="3" s="1"/>
  <c r="R227" i="3" s="1"/>
  <c r="S227" i="3" s="1"/>
  <c r="T227" i="3" s="1"/>
  <c r="U227" i="3" s="1"/>
  <c r="V227" i="3" s="1"/>
  <c r="W227" i="3" s="1"/>
  <c r="X227" i="3" s="1"/>
  <c r="Y227" i="3" s="1"/>
  <c r="Z227" i="3" s="1"/>
  <c r="AA227" i="3" s="1"/>
  <c r="AB227" i="3" s="1"/>
  <c r="AC227" i="3" s="1"/>
  <c r="AD227" i="3" s="1"/>
  <c r="AE227" i="3" s="1"/>
  <c r="AF227" i="3" s="1"/>
  <c r="AG227" i="3" s="1"/>
  <c r="AH227" i="3" s="1"/>
  <c r="AI227" i="3" s="1"/>
  <c r="AJ227" i="3" s="1"/>
  <c r="AK227" i="3" s="1"/>
  <c r="AL227" i="3" s="1"/>
  <c r="AM227" i="3" s="1"/>
  <c r="AN227" i="3" s="1"/>
  <c r="AO227" i="3" s="1"/>
  <c r="AP227" i="3" s="1"/>
  <c r="J228" i="2"/>
  <c r="P220" i="3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A220" i="3" s="1"/>
  <c r="AB220" i="3" s="1"/>
  <c r="AC220" i="3" s="1"/>
  <c r="AD220" i="3" s="1"/>
  <c r="AE220" i="3" s="1"/>
  <c r="AF220" i="3" s="1"/>
  <c r="AG220" i="3" s="1"/>
  <c r="AH220" i="3" s="1"/>
  <c r="AI220" i="3" s="1"/>
  <c r="AJ220" i="3" s="1"/>
  <c r="AK220" i="3" s="1"/>
  <c r="AL220" i="3" s="1"/>
  <c r="AM220" i="3" s="1"/>
  <c r="AN220" i="3" s="1"/>
  <c r="AO220" i="3" s="1"/>
  <c r="AP220" i="3" s="1"/>
  <c r="P210" i="3"/>
  <c r="Q210" i="3" s="1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AG210" i="3" s="1"/>
  <c r="AH210" i="3" s="1"/>
  <c r="AI210" i="3" s="1"/>
  <c r="AJ210" i="3" s="1"/>
  <c r="AK210" i="3" s="1"/>
  <c r="AL210" i="3" s="1"/>
  <c r="AM210" i="3" s="1"/>
  <c r="AN210" i="3" s="1"/>
  <c r="AO210" i="3" s="1"/>
  <c r="AP210" i="3" s="1"/>
  <c r="P200" i="3"/>
  <c r="Q200" i="3" s="1"/>
  <c r="R200" i="3" s="1"/>
  <c r="S200" i="3" s="1"/>
  <c r="T200" i="3" s="1"/>
  <c r="U200" i="3" s="1"/>
  <c r="V200" i="3" s="1"/>
  <c r="W200" i="3" s="1"/>
  <c r="X200" i="3" s="1"/>
  <c r="Y200" i="3" s="1"/>
  <c r="Z200" i="3" s="1"/>
  <c r="AA200" i="3" s="1"/>
  <c r="AB200" i="3" s="1"/>
  <c r="AC200" i="3" s="1"/>
  <c r="AD200" i="3" s="1"/>
  <c r="AE200" i="3" s="1"/>
  <c r="AF200" i="3" s="1"/>
  <c r="AG200" i="3" s="1"/>
  <c r="AH200" i="3" s="1"/>
  <c r="AI200" i="3" s="1"/>
  <c r="AJ200" i="3" s="1"/>
  <c r="AK200" i="3" s="1"/>
  <c r="AL200" i="3" s="1"/>
  <c r="AM200" i="3" s="1"/>
  <c r="AN200" i="3" s="1"/>
  <c r="AO200" i="3" s="1"/>
  <c r="AP200" i="3" s="1"/>
  <c r="P190" i="3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AG190" i="3" s="1"/>
  <c r="AH190" i="3" s="1"/>
  <c r="AI190" i="3" s="1"/>
  <c r="AJ190" i="3" s="1"/>
  <c r="AK190" i="3" s="1"/>
  <c r="AL190" i="3" s="1"/>
  <c r="AM190" i="3" s="1"/>
  <c r="AN190" i="3" s="1"/>
  <c r="AO190" i="3" s="1"/>
  <c r="AP190" i="3" s="1"/>
  <c r="P180" i="3"/>
  <c r="Q180" i="3" s="1"/>
  <c r="R180" i="3" s="1"/>
  <c r="S180" i="3" s="1"/>
  <c r="T180" i="3" s="1"/>
  <c r="U180" i="3" s="1"/>
  <c r="V180" i="3" s="1"/>
  <c r="W180" i="3" s="1"/>
  <c r="X180" i="3" s="1"/>
  <c r="Y180" i="3" s="1"/>
  <c r="Z180" i="3" s="1"/>
  <c r="AA180" i="3" s="1"/>
  <c r="AB180" i="3" s="1"/>
  <c r="AC180" i="3" s="1"/>
  <c r="AD180" i="3" s="1"/>
  <c r="AE180" i="3" s="1"/>
  <c r="AF180" i="3" s="1"/>
  <c r="AG180" i="3" s="1"/>
  <c r="AH180" i="3" s="1"/>
  <c r="AI180" i="3" s="1"/>
  <c r="AJ180" i="3" s="1"/>
  <c r="AK180" i="3" s="1"/>
  <c r="AL180" i="3" s="1"/>
  <c r="AM180" i="3" s="1"/>
  <c r="AN180" i="3" s="1"/>
  <c r="AO180" i="3" s="1"/>
  <c r="AP180" i="3" s="1"/>
  <c r="N218" i="3"/>
  <c r="M218" i="3"/>
  <c r="L218" i="3"/>
  <c r="K218" i="3"/>
  <c r="J218" i="3"/>
  <c r="P217" i="3"/>
  <c r="Q217" i="3" s="1"/>
  <c r="R217" i="3" s="1"/>
  <c r="S217" i="3" s="1"/>
  <c r="T217" i="3" s="1"/>
  <c r="U217" i="3" s="1"/>
  <c r="V217" i="3" s="1"/>
  <c r="W217" i="3" s="1"/>
  <c r="X217" i="3" s="1"/>
  <c r="Y217" i="3" s="1"/>
  <c r="Z217" i="3" s="1"/>
  <c r="AA217" i="3" s="1"/>
  <c r="AB217" i="3" s="1"/>
  <c r="AC217" i="3" s="1"/>
  <c r="AD217" i="3" s="1"/>
  <c r="AE217" i="3" s="1"/>
  <c r="AF217" i="3" s="1"/>
  <c r="AG217" i="3" s="1"/>
  <c r="AH217" i="3" s="1"/>
  <c r="AI217" i="3" s="1"/>
  <c r="AJ217" i="3" s="1"/>
  <c r="AK217" i="3" s="1"/>
  <c r="AL217" i="3" s="1"/>
  <c r="AM217" i="3" s="1"/>
  <c r="AN217" i="3" s="1"/>
  <c r="AO217" i="3" s="1"/>
  <c r="AP217" i="3" s="1"/>
  <c r="N208" i="3"/>
  <c r="M208" i="3"/>
  <c r="L208" i="3"/>
  <c r="K208" i="3"/>
  <c r="J208" i="3"/>
  <c r="O208" i="3"/>
  <c r="N198" i="3"/>
  <c r="M198" i="3"/>
  <c r="L198" i="3"/>
  <c r="K198" i="3"/>
  <c r="J198" i="3"/>
  <c r="O198" i="3"/>
  <c r="N188" i="3"/>
  <c r="M188" i="3"/>
  <c r="L188" i="3"/>
  <c r="K188" i="3"/>
  <c r="J188" i="3"/>
  <c r="O188" i="3"/>
  <c r="P188" i="3" s="1"/>
  <c r="Q188" i="3" s="1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AG188" i="3" s="1"/>
  <c r="AH188" i="3" s="1"/>
  <c r="AI188" i="3" s="1"/>
  <c r="AJ188" i="3" s="1"/>
  <c r="AK188" i="3" s="1"/>
  <c r="AL188" i="3" s="1"/>
  <c r="AM188" i="3" s="1"/>
  <c r="AN188" i="3" s="1"/>
  <c r="AO188" i="3" s="1"/>
  <c r="AP188" i="3" s="1"/>
  <c r="N178" i="3"/>
  <c r="M178" i="3"/>
  <c r="L178" i="3"/>
  <c r="K178" i="3"/>
  <c r="J178" i="3"/>
  <c r="O178" i="3"/>
  <c r="P170" i="3"/>
  <c r="Q170" i="3" s="1"/>
  <c r="R170" i="3" s="1"/>
  <c r="S170" i="3" s="1"/>
  <c r="T170" i="3" s="1"/>
  <c r="U170" i="3" s="1"/>
  <c r="V170" i="3" s="1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AG170" i="3" s="1"/>
  <c r="AH170" i="3" s="1"/>
  <c r="AI170" i="3" s="1"/>
  <c r="AJ170" i="3" s="1"/>
  <c r="AK170" i="3" s="1"/>
  <c r="AL170" i="3" s="1"/>
  <c r="AM170" i="3" s="1"/>
  <c r="AN170" i="3" s="1"/>
  <c r="AO170" i="3" s="1"/>
  <c r="AP170" i="3" s="1"/>
  <c r="N168" i="3"/>
  <c r="M168" i="3"/>
  <c r="L168" i="3"/>
  <c r="K168" i="3"/>
  <c r="J168" i="3"/>
  <c r="O168" i="3"/>
  <c r="K148" i="3"/>
  <c r="L148" i="3"/>
  <c r="M148" i="3"/>
  <c r="N148" i="3"/>
  <c r="J148" i="3"/>
  <c r="K138" i="3"/>
  <c r="L138" i="3"/>
  <c r="M138" i="3"/>
  <c r="N138" i="3"/>
  <c r="J138" i="3"/>
  <c r="K158" i="3"/>
  <c r="L158" i="3"/>
  <c r="M158" i="3"/>
  <c r="N158" i="3"/>
  <c r="J158" i="3"/>
  <c r="O157" i="3"/>
  <c r="O158" i="3" s="1"/>
  <c r="P158" i="3" s="1"/>
  <c r="Q158" i="3" s="1"/>
  <c r="R158" i="3" s="1"/>
  <c r="S158" i="3" s="1"/>
  <c r="T158" i="3" s="1"/>
  <c r="U158" i="3" s="1"/>
  <c r="V158" i="3" s="1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AG158" i="3" s="1"/>
  <c r="AH158" i="3" s="1"/>
  <c r="AI158" i="3" s="1"/>
  <c r="AJ158" i="3" s="1"/>
  <c r="AK158" i="3" s="1"/>
  <c r="AL158" i="3" s="1"/>
  <c r="AM158" i="3" s="1"/>
  <c r="AN158" i="3" s="1"/>
  <c r="AO158" i="3" s="1"/>
  <c r="AP158" i="3" s="1"/>
  <c r="O147" i="3"/>
  <c r="O148" i="3" s="1"/>
  <c r="O137" i="3"/>
  <c r="P137" i="3" s="1"/>
  <c r="Q137" i="3" s="1"/>
  <c r="R137" i="3" s="1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AG137" i="3" s="1"/>
  <c r="AH137" i="3" s="1"/>
  <c r="AI137" i="3" s="1"/>
  <c r="AJ137" i="3" s="1"/>
  <c r="AK137" i="3" s="1"/>
  <c r="AL137" i="3" s="1"/>
  <c r="AM137" i="3" s="1"/>
  <c r="AN137" i="3" s="1"/>
  <c r="AO137" i="3" s="1"/>
  <c r="AP137" i="3" s="1"/>
  <c r="U138" i="2" l="1"/>
  <c r="V140" i="2"/>
  <c r="B22" i="1"/>
  <c r="A103" i="2"/>
  <c r="A104" i="2" s="1"/>
  <c r="A105" i="2" s="1"/>
  <c r="A106" i="2" s="1"/>
  <c r="A107" i="2" s="1"/>
  <c r="A108" i="2" s="1"/>
  <c r="A109" i="2" s="1"/>
  <c r="A110" i="2" s="1"/>
  <c r="A111" i="2" s="1"/>
  <c r="A112" i="2"/>
  <c r="A93" i="2"/>
  <c r="A94" i="2" s="1"/>
  <c r="A95" i="2" s="1"/>
  <c r="A96" i="2" s="1"/>
  <c r="A97" i="2" s="1"/>
  <c r="A98" i="2" s="1"/>
  <c r="A99" i="2" s="1"/>
  <c r="A100" i="2" s="1"/>
  <c r="A101" i="2" s="1"/>
  <c r="O218" i="3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AG218" i="3" s="1"/>
  <c r="AH218" i="3" s="1"/>
  <c r="AI218" i="3" s="1"/>
  <c r="AJ218" i="3" s="1"/>
  <c r="AK218" i="3" s="1"/>
  <c r="AL218" i="3" s="1"/>
  <c r="AM218" i="3" s="1"/>
  <c r="AN218" i="3" s="1"/>
  <c r="AO218" i="3" s="1"/>
  <c r="AP218" i="3" s="1"/>
  <c r="P197" i="3"/>
  <c r="P147" i="3"/>
  <c r="Q147" i="3" s="1"/>
  <c r="R147" i="3" s="1"/>
  <c r="S147" i="3" s="1"/>
  <c r="T147" i="3" s="1"/>
  <c r="U147" i="3" s="1"/>
  <c r="V147" i="3" s="1"/>
  <c r="W147" i="3" s="1"/>
  <c r="X147" i="3" s="1"/>
  <c r="Y147" i="3" s="1"/>
  <c r="Z147" i="3" s="1"/>
  <c r="AA147" i="3" s="1"/>
  <c r="AB147" i="3" s="1"/>
  <c r="AC147" i="3" s="1"/>
  <c r="AD147" i="3" s="1"/>
  <c r="AE147" i="3" s="1"/>
  <c r="AF147" i="3" s="1"/>
  <c r="AG147" i="3" s="1"/>
  <c r="AH147" i="3" s="1"/>
  <c r="AI147" i="3" s="1"/>
  <c r="AJ147" i="3" s="1"/>
  <c r="AK147" i="3" s="1"/>
  <c r="AL147" i="3" s="1"/>
  <c r="AM147" i="3" s="1"/>
  <c r="AN147" i="3" s="1"/>
  <c r="AO147" i="3" s="1"/>
  <c r="AP147" i="3" s="1"/>
  <c r="P138" i="3"/>
  <c r="P207" i="3"/>
  <c r="P187" i="3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AG187" i="3" s="1"/>
  <c r="AH187" i="3" s="1"/>
  <c r="AI187" i="3" s="1"/>
  <c r="AJ187" i="3" s="1"/>
  <c r="AK187" i="3" s="1"/>
  <c r="AL187" i="3" s="1"/>
  <c r="AM187" i="3" s="1"/>
  <c r="AN187" i="3" s="1"/>
  <c r="AO187" i="3" s="1"/>
  <c r="AP187" i="3" s="1"/>
  <c r="P157" i="3"/>
  <c r="Q157" i="3" s="1"/>
  <c r="R157" i="3" s="1"/>
  <c r="S157" i="3" s="1"/>
  <c r="T157" i="3" s="1"/>
  <c r="U157" i="3" s="1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AG157" i="3" s="1"/>
  <c r="AH157" i="3" s="1"/>
  <c r="AI157" i="3" s="1"/>
  <c r="AJ157" i="3" s="1"/>
  <c r="AK157" i="3" s="1"/>
  <c r="AL157" i="3" s="1"/>
  <c r="AM157" i="3" s="1"/>
  <c r="AN157" i="3" s="1"/>
  <c r="AO157" i="3" s="1"/>
  <c r="AP157" i="3" s="1"/>
  <c r="Q138" i="3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AH138" i="3" s="1"/>
  <c r="AI138" i="3" s="1"/>
  <c r="AJ138" i="3" s="1"/>
  <c r="AK138" i="3" s="1"/>
  <c r="AL138" i="3" s="1"/>
  <c r="AM138" i="3" s="1"/>
  <c r="AN138" i="3" s="1"/>
  <c r="AO138" i="3" s="1"/>
  <c r="AP138" i="3" s="1"/>
  <c r="P177" i="3"/>
  <c r="O138" i="3"/>
  <c r="P167" i="3"/>
  <c r="O140" i="3"/>
  <c r="P140" i="3" s="1"/>
  <c r="Q140" i="3" s="1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AC140" i="3" s="1"/>
  <c r="AD140" i="3" s="1"/>
  <c r="AE140" i="3" s="1"/>
  <c r="AF140" i="3" s="1"/>
  <c r="AG140" i="3" s="1"/>
  <c r="AH140" i="3" s="1"/>
  <c r="AI140" i="3" s="1"/>
  <c r="AJ140" i="3" s="1"/>
  <c r="AK140" i="3" s="1"/>
  <c r="AL140" i="3" s="1"/>
  <c r="AM140" i="3" s="1"/>
  <c r="AN140" i="3" s="1"/>
  <c r="AO140" i="3" s="1"/>
  <c r="AP140" i="3" s="1"/>
  <c r="A132" i="3"/>
  <c r="W140" i="2" l="1"/>
  <c r="V138" i="2"/>
  <c r="B23" i="1"/>
  <c r="B24" i="1"/>
  <c r="A113" i="2"/>
  <c r="A114" i="2" s="1"/>
  <c r="A115" i="2" s="1"/>
  <c r="A116" i="2" s="1"/>
  <c r="A117" i="2" s="1"/>
  <c r="A118" i="2" s="1"/>
  <c r="A119" i="2" s="1"/>
  <c r="A120" i="2" s="1"/>
  <c r="A121" i="2" s="1"/>
  <c r="A122" i="2"/>
  <c r="Q148" i="3"/>
  <c r="R148" i="3" s="1"/>
  <c r="S148" i="3" s="1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AG148" i="3" s="1"/>
  <c r="AH148" i="3" s="1"/>
  <c r="AI148" i="3" s="1"/>
  <c r="AJ148" i="3" s="1"/>
  <c r="AK148" i="3" s="1"/>
  <c r="AL148" i="3" s="1"/>
  <c r="AM148" i="3" s="1"/>
  <c r="AN148" i="3" s="1"/>
  <c r="AO148" i="3" s="1"/>
  <c r="AP148" i="3" s="1"/>
  <c r="P148" i="3"/>
  <c r="P198" i="3"/>
  <c r="Q197" i="3"/>
  <c r="P208" i="3"/>
  <c r="Q207" i="3"/>
  <c r="Q167" i="3"/>
  <c r="P168" i="3"/>
  <c r="Q177" i="3"/>
  <c r="P178" i="3"/>
  <c r="A133" i="3"/>
  <c r="A134" i="3" s="1"/>
  <c r="A135" i="3" s="1"/>
  <c r="A136" i="3" s="1"/>
  <c r="A137" i="3" s="1"/>
  <c r="A138" i="3" s="1"/>
  <c r="A139" i="3" s="1"/>
  <c r="A140" i="3" s="1"/>
  <c r="A141" i="3" s="1"/>
  <c r="A142" i="3"/>
  <c r="X140" i="2" l="1"/>
  <c r="W138" i="2"/>
  <c r="B26" i="1"/>
  <c r="B25" i="1"/>
  <c r="A132" i="2"/>
  <c r="A123" i="2"/>
  <c r="A124" i="2" s="1"/>
  <c r="A125" i="2" s="1"/>
  <c r="A126" i="2" s="1"/>
  <c r="A127" i="2" s="1"/>
  <c r="A128" i="2" s="1"/>
  <c r="A129" i="2" s="1"/>
  <c r="A130" i="2" s="1"/>
  <c r="A131" i="2" s="1"/>
  <c r="Q198" i="3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AG198" i="3" s="1"/>
  <c r="AH198" i="3" s="1"/>
  <c r="AI198" i="3" s="1"/>
  <c r="AJ198" i="3" s="1"/>
  <c r="AK198" i="3" s="1"/>
  <c r="AL198" i="3" s="1"/>
  <c r="AM198" i="3" s="1"/>
  <c r="AN198" i="3" s="1"/>
  <c r="AO198" i="3" s="1"/>
  <c r="AP198" i="3" s="1"/>
  <c r="R197" i="3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AG197" i="3" s="1"/>
  <c r="AH197" i="3" s="1"/>
  <c r="AI197" i="3" s="1"/>
  <c r="AJ197" i="3" s="1"/>
  <c r="AK197" i="3" s="1"/>
  <c r="AL197" i="3" s="1"/>
  <c r="AM197" i="3" s="1"/>
  <c r="AN197" i="3" s="1"/>
  <c r="AO197" i="3" s="1"/>
  <c r="AP197" i="3" s="1"/>
  <c r="Q208" i="3"/>
  <c r="R208" i="3" s="1"/>
  <c r="S208" i="3" s="1"/>
  <c r="T208" i="3" s="1"/>
  <c r="U208" i="3" s="1"/>
  <c r="V208" i="3" s="1"/>
  <c r="W208" i="3" s="1"/>
  <c r="X208" i="3" s="1"/>
  <c r="Y208" i="3" s="1"/>
  <c r="Z208" i="3" s="1"/>
  <c r="AA208" i="3" s="1"/>
  <c r="AB208" i="3" s="1"/>
  <c r="AC208" i="3" s="1"/>
  <c r="AD208" i="3" s="1"/>
  <c r="AE208" i="3" s="1"/>
  <c r="AF208" i="3" s="1"/>
  <c r="AG208" i="3" s="1"/>
  <c r="AH208" i="3" s="1"/>
  <c r="AI208" i="3" s="1"/>
  <c r="AJ208" i="3" s="1"/>
  <c r="AK208" i="3" s="1"/>
  <c r="AL208" i="3" s="1"/>
  <c r="AM208" i="3" s="1"/>
  <c r="AN208" i="3" s="1"/>
  <c r="AO208" i="3" s="1"/>
  <c r="AP208" i="3" s="1"/>
  <c r="R207" i="3"/>
  <c r="S207" i="3" s="1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AG207" i="3" s="1"/>
  <c r="AH207" i="3" s="1"/>
  <c r="AI207" i="3" s="1"/>
  <c r="AJ207" i="3" s="1"/>
  <c r="AK207" i="3" s="1"/>
  <c r="AL207" i="3" s="1"/>
  <c r="AM207" i="3" s="1"/>
  <c r="AN207" i="3" s="1"/>
  <c r="AO207" i="3" s="1"/>
  <c r="AP207" i="3" s="1"/>
  <c r="Q178" i="3"/>
  <c r="R178" i="3" s="1"/>
  <c r="S178" i="3" s="1"/>
  <c r="T178" i="3" s="1"/>
  <c r="U178" i="3" s="1"/>
  <c r="V178" i="3" s="1"/>
  <c r="W178" i="3" s="1"/>
  <c r="X178" i="3" s="1"/>
  <c r="Y178" i="3" s="1"/>
  <c r="Z178" i="3" s="1"/>
  <c r="AA178" i="3" s="1"/>
  <c r="AB178" i="3" s="1"/>
  <c r="AC178" i="3" s="1"/>
  <c r="AD178" i="3" s="1"/>
  <c r="AE178" i="3" s="1"/>
  <c r="AF178" i="3" s="1"/>
  <c r="AG178" i="3" s="1"/>
  <c r="AH178" i="3" s="1"/>
  <c r="AI178" i="3" s="1"/>
  <c r="AJ178" i="3" s="1"/>
  <c r="AK178" i="3" s="1"/>
  <c r="AL178" i="3" s="1"/>
  <c r="AM178" i="3" s="1"/>
  <c r="AN178" i="3" s="1"/>
  <c r="AO178" i="3" s="1"/>
  <c r="AP178" i="3" s="1"/>
  <c r="R177" i="3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G177" i="3" s="1"/>
  <c r="AH177" i="3" s="1"/>
  <c r="AI177" i="3" s="1"/>
  <c r="AJ177" i="3" s="1"/>
  <c r="AK177" i="3" s="1"/>
  <c r="AL177" i="3" s="1"/>
  <c r="AM177" i="3" s="1"/>
  <c r="AN177" i="3" s="1"/>
  <c r="AO177" i="3" s="1"/>
  <c r="AP177" i="3" s="1"/>
  <c r="R167" i="3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AG167" i="3" s="1"/>
  <c r="AH167" i="3" s="1"/>
  <c r="AI167" i="3" s="1"/>
  <c r="AJ167" i="3" s="1"/>
  <c r="AK167" i="3" s="1"/>
  <c r="AL167" i="3" s="1"/>
  <c r="AM167" i="3" s="1"/>
  <c r="AN167" i="3" s="1"/>
  <c r="AO167" i="3" s="1"/>
  <c r="AP167" i="3" s="1"/>
  <c r="Q168" i="3"/>
  <c r="R168" i="3" s="1"/>
  <c r="S168" i="3" s="1"/>
  <c r="T168" i="3" s="1"/>
  <c r="U168" i="3" s="1"/>
  <c r="V168" i="3" s="1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AG168" i="3" s="1"/>
  <c r="AH168" i="3" s="1"/>
  <c r="AI168" i="3" s="1"/>
  <c r="AJ168" i="3" s="1"/>
  <c r="AK168" i="3" s="1"/>
  <c r="AL168" i="3" s="1"/>
  <c r="AM168" i="3" s="1"/>
  <c r="AN168" i="3" s="1"/>
  <c r="AO168" i="3" s="1"/>
  <c r="AP168" i="3" s="1"/>
  <c r="A143" i="3"/>
  <c r="A144" i="3" s="1"/>
  <c r="A145" i="3" s="1"/>
  <c r="A146" i="3" s="1"/>
  <c r="A147" i="3" s="1"/>
  <c r="A148" i="3" s="1"/>
  <c r="A149" i="3" s="1"/>
  <c r="A150" i="3" s="1"/>
  <c r="A151" i="3" s="1"/>
  <c r="A152" i="3"/>
  <c r="Y140" i="2" l="1"/>
  <c r="X138" i="2"/>
  <c r="B28" i="1"/>
  <c r="B27" i="1"/>
  <c r="A142" i="2"/>
  <c r="A133" i="2"/>
  <c r="A134" i="2" s="1"/>
  <c r="A135" i="2" s="1"/>
  <c r="A136" i="2" s="1"/>
  <c r="A137" i="2" s="1"/>
  <c r="A138" i="2" s="1"/>
  <c r="A139" i="2" s="1"/>
  <c r="A140" i="2" s="1"/>
  <c r="A141" i="2" s="1"/>
  <c r="A153" i="3"/>
  <c r="A154" i="3" s="1"/>
  <c r="A155" i="3" s="1"/>
  <c r="A156" i="3" s="1"/>
  <c r="A157" i="3" s="1"/>
  <c r="A158" i="3" s="1"/>
  <c r="A159" i="3" s="1"/>
  <c r="A160" i="3" s="1"/>
  <c r="A161" i="3" s="1"/>
  <c r="A162" i="3"/>
  <c r="J93" i="6"/>
  <c r="J92" i="6"/>
  <c r="J263" i="3"/>
  <c r="J252" i="3"/>
  <c r="J242" i="3"/>
  <c r="J243" i="3" s="1"/>
  <c r="J232" i="3"/>
  <c r="J253" i="3" s="1"/>
  <c r="S130" i="3"/>
  <c r="Z140" i="2" l="1"/>
  <c r="Y138" i="2"/>
  <c r="B29" i="1"/>
  <c r="B30" i="1"/>
  <c r="A152" i="2"/>
  <c r="A143" i="2"/>
  <c r="A144" i="2" s="1"/>
  <c r="A145" i="2" s="1"/>
  <c r="A146" i="2" s="1"/>
  <c r="A147" i="2" s="1"/>
  <c r="A148" i="2" s="1"/>
  <c r="A149" i="2" s="1"/>
  <c r="A150" i="2" s="1"/>
  <c r="A151" i="2" s="1"/>
  <c r="A172" i="3"/>
  <c r="A163" i="3"/>
  <c r="A164" i="3" s="1"/>
  <c r="A165" i="3" s="1"/>
  <c r="A166" i="3" s="1"/>
  <c r="A167" i="3" s="1"/>
  <c r="A168" i="3" s="1"/>
  <c r="A169" i="3" s="1"/>
  <c r="A170" i="3" s="1"/>
  <c r="A171" i="3" s="1"/>
  <c r="J233" i="3"/>
  <c r="T130" i="3"/>
  <c r="AA140" i="2" l="1"/>
  <c r="Z138" i="2"/>
  <c r="B31" i="1"/>
  <c r="B32" i="1"/>
  <c r="A153" i="2"/>
  <c r="A154" i="2" s="1"/>
  <c r="A155" i="2" s="1"/>
  <c r="A156" i="2" s="1"/>
  <c r="A157" i="2" s="1"/>
  <c r="A158" i="2" s="1"/>
  <c r="A159" i="2" s="1"/>
  <c r="A160" i="2" s="1"/>
  <c r="A161" i="2" s="1"/>
  <c r="A162" i="2"/>
  <c r="A173" i="3"/>
  <c r="A174" i="3" s="1"/>
  <c r="A175" i="3" s="1"/>
  <c r="A176" i="3" s="1"/>
  <c r="A177" i="3" s="1"/>
  <c r="A178" i="3" s="1"/>
  <c r="A179" i="3" s="1"/>
  <c r="A180" i="3" s="1"/>
  <c r="A181" i="3" s="1"/>
  <c r="A182" i="3"/>
  <c r="U130" i="3"/>
  <c r="AB140" i="2" l="1"/>
  <c r="AA138" i="2"/>
  <c r="B34" i="1"/>
  <c r="B33" i="1"/>
  <c r="A172" i="2"/>
  <c r="A163" i="2"/>
  <c r="A164" i="2" s="1"/>
  <c r="A165" i="2" s="1"/>
  <c r="A166" i="2" s="1"/>
  <c r="A167" i="2" s="1"/>
  <c r="A168" i="2" s="1"/>
  <c r="A169" i="2" s="1"/>
  <c r="A170" i="2" s="1"/>
  <c r="A171" i="2" s="1"/>
  <c r="A183" i="3"/>
  <c r="A184" i="3" s="1"/>
  <c r="A185" i="3" s="1"/>
  <c r="A186" i="3" s="1"/>
  <c r="A187" i="3" s="1"/>
  <c r="A188" i="3" s="1"/>
  <c r="A189" i="3" s="1"/>
  <c r="A190" i="3" s="1"/>
  <c r="A191" i="3" s="1"/>
  <c r="A192" i="3"/>
  <c r="V130" i="3"/>
  <c r="AC140" i="2" l="1"/>
  <c r="AB138" i="2"/>
  <c r="B36" i="1"/>
  <c r="B35" i="1"/>
  <c r="A182" i="2"/>
  <c r="A173" i="2"/>
  <c r="A174" i="2" s="1"/>
  <c r="A175" i="2" s="1"/>
  <c r="A176" i="2" s="1"/>
  <c r="A177" i="2" s="1"/>
  <c r="A178" i="2" s="1"/>
  <c r="A179" i="2" s="1"/>
  <c r="A180" i="2" s="1"/>
  <c r="A181" i="2" s="1"/>
  <c r="A193" i="3"/>
  <c r="A194" i="3" s="1"/>
  <c r="A195" i="3" s="1"/>
  <c r="A196" i="3" s="1"/>
  <c r="A197" i="3" s="1"/>
  <c r="A198" i="3" s="1"/>
  <c r="A199" i="3" s="1"/>
  <c r="A200" i="3" s="1"/>
  <c r="A201" i="3" s="1"/>
  <c r="A202" i="3"/>
  <c r="W130" i="3"/>
  <c r="AD140" i="2" l="1"/>
  <c r="AC138" i="2"/>
  <c r="B38" i="1"/>
  <c r="B37" i="1"/>
  <c r="A183" i="2"/>
  <c r="A184" i="2" s="1"/>
  <c r="A185" i="2" s="1"/>
  <c r="A186" i="2" s="1"/>
  <c r="A187" i="2" s="1"/>
  <c r="A188" i="2" s="1"/>
  <c r="A189" i="2" s="1"/>
  <c r="A190" i="2" s="1"/>
  <c r="A191" i="2" s="1"/>
  <c r="A192" i="2"/>
  <c r="A203" i="3"/>
  <c r="A204" i="3" s="1"/>
  <c r="A205" i="3" s="1"/>
  <c r="A206" i="3" s="1"/>
  <c r="A207" i="3" s="1"/>
  <c r="A208" i="3" s="1"/>
  <c r="A209" i="3" s="1"/>
  <c r="A210" i="3" s="1"/>
  <c r="A211" i="3" s="1"/>
  <c r="A212" i="3"/>
  <c r="A222" i="3" s="1"/>
  <c r="X130" i="3"/>
  <c r="AE140" i="2" l="1"/>
  <c r="AD138" i="2"/>
  <c r="B39" i="1"/>
  <c r="B40" i="1"/>
  <c r="A202" i="2"/>
  <c r="A193" i="2"/>
  <c r="A194" i="2" s="1"/>
  <c r="A195" i="2" s="1"/>
  <c r="A196" i="2" s="1"/>
  <c r="A197" i="2" s="1"/>
  <c r="A198" i="2" s="1"/>
  <c r="A199" i="2" s="1"/>
  <c r="A200" i="2" s="1"/>
  <c r="A201" i="2" s="1"/>
  <c r="A223" i="3"/>
  <c r="A224" i="3" s="1"/>
  <c r="A225" i="3" s="1"/>
  <c r="A226" i="3" s="1"/>
  <c r="A227" i="3" s="1"/>
  <c r="A228" i="3" s="1"/>
  <c r="A229" i="3" s="1"/>
  <c r="A230" i="3" s="1"/>
  <c r="A231" i="3" s="1"/>
  <c r="A232" i="3"/>
  <c r="A213" i="3"/>
  <c r="A214" i="3" s="1"/>
  <c r="A215" i="3" s="1"/>
  <c r="A216" i="3" s="1"/>
  <c r="A217" i="3" s="1"/>
  <c r="A218" i="3" s="1"/>
  <c r="A219" i="3" s="1"/>
  <c r="A220" i="3" s="1"/>
  <c r="A221" i="3" s="1"/>
  <c r="Y130" i="3"/>
  <c r="AF140" i="2" l="1"/>
  <c r="AE138" i="2"/>
  <c r="B41" i="1"/>
  <c r="B42" i="1"/>
  <c r="A203" i="2"/>
  <c r="A204" i="2" s="1"/>
  <c r="A205" i="2" s="1"/>
  <c r="A206" i="2" s="1"/>
  <c r="A207" i="2" s="1"/>
  <c r="A208" i="2" s="1"/>
  <c r="A209" i="2" s="1"/>
  <c r="A210" i="2" s="1"/>
  <c r="A211" i="2" s="1"/>
  <c r="A212" i="2"/>
  <c r="A242" i="3"/>
  <c r="A233" i="3"/>
  <c r="A234" i="3" s="1"/>
  <c r="A235" i="3" s="1"/>
  <c r="A236" i="3" s="1"/>
  <c r="A237" i="3" s="1"/>
  <c r="A238" i="3" s="1"/>
  <c r="A239" i="3" s="1"/>
  <c r="A240" i="3" s="1"/>
  <c r="A241" i="3" s="1"/>
  <c r="Z130" i="3"/>
  <c r="AG140" i="2" l="1"/>
  <c r="AF138" i="2"/>
  <c r="B43" i="1"/>
  <c r="B44" i="1"/>
  <c r="A222" i="2"/>
  <c r="A213" i="2"/>
  <c r="A214" i="2" s="1"/>
  <c r="A215" i="2" s="1"/>
  <c r="A216" i="2" s="1"/>
  <c r="A217" i="2" s="1"/>
  <c r="A218" i="2" s="1"/>
  <c r="A219" i="2" s="1"/>
  <c r="A220" i="2" s="1"/>
  <c r="A221" i="2" s="1"/>
  <c r="A243" i="3"/>
  <c r="A244" i="3" s="1"/>
  <c r="A245" i="3" s="1"/>
  <c r="A246" i="3" s="1"/>
  <c r="A247" i="3" s="1"/>
  <c r="A248" i="3" s="1"/>
  <c r="A249" i="3" s="1"/>
  <c r="A250" i="3" s="1"/>
  <c r="A251" i="3" s="1"/>
  <c r="A252" i="3"/>
  <c r="AA130" i="3"/>
  <c r="AH140" i="2" l="1"/>
  <c r="AG138" i="2"/>
  <c r="B45" i="1"/>
  <c r="B46" i="1"/>
  <c r="A223" i="2"/>
  <c r="A224" i="2" s="1"/>
  <c r="A225" i="2" s="1"/>
  <c r="A226" i="2" s="1"/>
  <c r="A227" i="2" s="1"/>
  <c r="A228" i="2" s="1"/>
  <c r="A229" i="2" s="1"/>
  <c r="A230" i="2" s="1"/>
  <c r="A231" i="2" s="1"/>
  <c r="A232" i="2"/>
  <c r="A253" i="3"/>
  <c r="A254" i="3" s="1"/>
  <c r="A255" i="3" s="1"/>
  <c r="A256" i="3" s="1"/>
  <c r="A257" i="3" s="1"/>
  <c r="A258" i="3" s="1"/>
  <c r="A259" i="3" s="1"/>
  <c r="A260" i="3" s="1"/>
  <c r="A261" i="3" s="1"/>
  <c r="A262" i="3"/>
  <c r="AB130" i="3"/>
  <c r="AI140" i="2" l="1"/>
  <c r="AH138" i="2"/>
  <c r="B48" i="1"/>
  <c r="B47" i="1"/>
  <c r="A233" i="2"/>
  <c r="A234" i="2" s="1"/>
  <c r="A235" i="2" s="1"/>
  <c r="A236" i="2" s="1"/>
  <c r="A237" i="2" s="1"/>
  <c r="A238" i="2" s="1"/>
  <c r="A239" i="2" s="1"/>
  <c r="A240" i="2" s="1"/>
  <c r="A241" i="2" s="1"/>
  <c r="A242" i="2"/>
  <c r="A263" i="3"/>
  <c r="A264" i="3" s="1"/>
  <c r="A265" i="3" s="1"/>
  <c r="A266" i="3" s="1"/>
  <c r="A267" i="3" s="1"/>
  <c r="A268" i="3" s="1"/>
  <c r="A269" i="3" s="1"/>
  <c r="A270" i="3" s="1"/>
  <c r="A271" i="3" s="1"/>
  <c r="AC130" i="3"/>
  <c r="AJ140" i="2" l="1"/>
  <c r="AI138" i="2"/>
  <c r="B50" i="1"/>
  <c r="B49" i="1"/>
  <c r="A243" i="2"/>
  <c r="A244" i="2" s="1"/>
  <c r="A245" i="2" s="1"/>
  <c r="A246" i="2" s="1"/>
  <c r="A247" i="2" s="1"/>
  <c r="A248" i="2" s="1"/>
  <c r="A249" i="2" s="1"/>
  <c r="A250" i="2" s="1"/>
  <c r="A251" i="2" s="1"/>
  <c r="A252" i="2"/>
  <c r="AD130" i="3"/>
  <c r="AK140" i="2" l="1"/>
  <c r="AJ138" i="2"/>
  <c r="B52" i="1"/>
  <c r="B51" i="1"/>
  <c r="A253" i="2"/>
  <c r="A254" i="2" s="1"/>
  <c r="A255" i="2" s="1"/>
  <c r="A256" i="2" s="1"/>
  <c r="A257" i="2" s="1"/>
  <c r="A258" i="2" s="1"/>
  <c r="A259" i="2" s="1"/>
  <c r="A260" i="2" s="1"/>
  <c r="A261" i="2" s="1"/>
  <c r="AE130" i="3"/>
  <c r="AL140" i="2" l="1"/>
  <c r="AK138" i="2"/>
  <c r="B53" i="1"/>
  <c r="AF130" i="3"/>
  <c r="AM140" i="2" l="1"/>
  <c r="AL138" i="2"/>
  <c r="AG130" i="3"/>
  <c r="AM138" i="2" l="1"/>
  <c r="AN140" i="2"/>
  <c r="AH130" i="3"/>
  <c r="AO140" i="2" l="1"/>
  <c r="AN138" i="2"/>
  <c r="AI130" i="3"/>
  <c r="AP140" i="2" l="1"/>
  <c r="AP138" i="2" s="1"/>
  <c r="AO138" i="2"/>
  <c r="AJ130" i="3"/>
  <c r="AK130" i="3" l="1"/>
  <c r="AL130" i="3" l="1"/>
  <c r="AM130" i="3" l="1"/>
  <c r="AN130" i="3" l="1"/>
  <c r="AO130" i="3" l="1"/>
  <c r="B55" i="1" l="1"/>
  <c r="B56" i="1"/>
  <c r="B58" i="1" l="1"/>
  <c r="B57" i="1"/>
  <c r="B59" i="1" l="1"/>
  <c r="B60" i="1"/>
  <c r="B61" i="1" l="1"/>
  <c r="B62" i="1"/>
  <c r="B63" i="1" l="1"/>
  <c r="B64" i="1"/>
  <c r="B66" i="1" l="1"/>
  <c r="B65" i="1"/>
  <c r="B67" i="1" l="1"/>
  <c r="B68" i="1"/>
  <c r="B69" i="1" l="1"/>
  <c r="B70" i="1"/>
  <c r="B71" i="1" l="1"/>
  <c r="B72" i="1"/>
  <c r="B74" i="1" l="1"/>
  <c r="B73" i="1"/>
  <c r="B75" i="1" l="1"/>
  <c r="B76" i="1"/>
  <c r="B77" i="1" l="1"/>
  <c r="B78" i="1"/>
  <c r="B79" i="1" l="1"/>
  <c r="B80" i="1"/>
  <c r="B82" i="1" l="1"/>
  <c r="B81" i="1"/>
  <c r="B83" i="1" l="1"/>
  <c r="B84" i="1"/>
  <c r="B85" i="1" l="1"/>
  <c r="B86" i="1"/>
  <c r="B87" i="1" l="1"/>
  <c r="B88" i="1"/>
  <c r="B90" i="1" l="1"/>
  <c r="B89" i="1"/>
  <c r="B91" i="1" l="1"/>
  <c r="B92" i="1"/>
  <c r="B93" i="1" l="1"/>
  <c r="B94" i="1"/>
  <c r="B95" i="1" l="1"/>
  <c r="B96" i="1"/>
  <c r="B98" i="1" l="1"/>
  <c r="B97" i="1"/>
  <c r="B99" i="1" l="1"/>
  <c r="B100" i="1"/>
  <c r="B101" i="1" l="1"/>
  <c r="B102" i="1"/>
  <c r="B103" i="1" l="1"/>
  <c r="B104" i="1"/>
  <c r="B106" i="1" l="1"/>
  <c r="B105" i="1"/>
  <c r="B107" i="1" l="1"/>
  <c r="B109" i="1" l="1"/>
  <c r="B110" i="1"/>
  <c r="B112" i="1" l="1"/>
  <c r="B111" i="1"/>
  <c r="B113" i="1" l="1"/>
  <c r="B114" i="1"/>
  <c r="B116" i="1" l="1"/>
  <c r="B115" i="1"/>
  <c r="B117" i="1" l="1"/>
  <c r="B118" i="1"/>
  <c r="B119" i="1" l="1"/>
  <c r="B123" i="1" l="1"/>
  <c r="B124" i="1"/>
  <c r="B125" i="1" l="1"/>
  <c r="B126" i="1"/>
  <c r="B127" i="1" l="1"/>
  <c r="B128" i="1"/>
  <c r="B130" i="1" l="1"/>
  <c r="B129" i="1"/>
  <c r="B131" i="1" l="1"/>
  <c r="B132" i="1"/>
  <c r="B134" i="1" l="1"/>
  <c r="B133" i="1"/>
  <c r="B135" i="1" l="1"/>
  <c r="B136" i="1"/>
  <c r="B138" i="1" l="1"/>
  <c r="B137" i="1"/>
  <c r="B139" i="1" l="1"/>
  <c r="B140" i="1"/>
  <c r="B141" i="1" l="1"/>
  <c r="B142" i="1"/>
  <c r="B143" i="1" l="1"/>
  <c r="B144" i="1"/>
  <c r="B146" i="1" l="1"/>
  <c r="B145" i="1"/>
  <c r="B147" i="1" l="1"/>
  <c r="B148" i="1"/>
  <c r="B149" i="1" l="1"/>
  <c r="B150" i="1"/>
  <c r="B151" i="1" l="1"/>
  <c r="B152" i="1"/>
  <c r="B154" i="1" l="1"/>
  <c r="B153" i="1"/>
  <c r="B155" i="1" l="1"/>
  <c r="B156" i="1"/>
  <c r="B158" i="1" l="1"/>
  <c r="B157" i="1"/>
  <c r="B159" i="1" l="1"/>
  <c r="B160" i="1"/>
  <c r="B162" i="1" l="1"/>
  <c r="B161" i="1"/>
  <c r="B163" i="1" l="1"/>
  <c r="B164" i="1"/>
  <c r="B166" i="1" l="1"/>
  <c r="B165" i="1"/>
  <c r="B167" i="1" l="1"/>
  <c r="B168" i="1"/>
  <c r="B170" i="1" l="1"/>
  <c r="B169" i="1"/>
  <c r="B171" i="1" l="1"/>
  <c r="B172" i="1"/>
  <c r="B173" i="1" l="1"/>
  <c r="B174" i="1"/>
  <c r="B175" i="1" l="1"/>
  <c r="B177" i="1" l="1"/>
  <c r="B178" i="1"/>
  <c r="B180" i="1" l="1"/>
  <c r="B179" i="1"/>
  <c r="B181" i="1" l="1"/>
  <c r="B182" i="1"/>
  <c r="B183" i="1" l="1"/>
  <c r="B184" i="1"/>
  <c r="B185" i="1" l="1"/>
  <c r="B186" i="1"/>
  <c r="B187" i="1" l="1"/>
  <c r="B188" i="1"/>
  <c r="B190" i="1" l="1"/>
  <c r="B189" i="1"/>
  <c r="B191" i="1" l="1"/>
  <c r="B192" i="1"/>
  <c r="B193" i="1" l="1"/>
  <c r="B194" i="1"/>
  <c r="B196" i="1" l="1"/>
  <c r="B195" i="1"/>
  <c r="B197" i="1" l="1"/>
  <c r="B198" i="1"/>
  <c r="B200" i="1" l="1"/>
  <c r="B199" i="1"/>
  <c r="B201" i="1" l="1"/>
  <c r="B202" i="1"/>
  <c r="B203" i="1" l="1"/>
  <c r="B204" i="1"/>
  <c r="B205" i="1" l="1"/>
  <c r="B206" i="1"/>
  <c r="B208" i="1" l="1"/>
  <c r="B207" i="1"/>
  <c r="B209" i="1" l="1"/>
  <c r="B210" i="1"/>
  <c r="B212" i="1" l="1"/>
  <c r="B211" i="1"/>
  <c r="B214" i="1" l="1"/>
  <c r="B213" i="1"/>
  <c r="B215" i="1" l="1"/>
  <c r="B216" i="1"/>
  <c r="B217" i="1" l="1"/>
  <c r="B218" i="1"/>
  <c r="B220" i="1" l="1"/>
  <c r="B219" i="1"/>
  <c r="B221" i="1" l="1"/>
  <c r="B222" i="1"/>
  <c r="B224" i="1" l="1"/>
  <c r="B223" i="1"/>
  <c r="B225" i="1" l="1"/>
  <c r="B228" i="1" l="1"/>
  <c r="B227" i="1"/>
  <c r="B230" i="1" l="1"/>
  <c r="B229" i="1"/>
  <c r="B231" i="1" l="1"/>
  <c r="B232" i="1"/>
  <c r="B233" i="1" l="1"/>
  <c r="B234" i="1"/>
  <c r="B235" i="1" l="1"/>
  <c r="B236" i="1"/>
  <c r="B237" i="1" l="1"/>
  <c r="B238" i="1"/>
  <c r="B240" i="1" l="1"/>
  <c r="B239" i="1"/>
  <c r="B241" i="1" l="1"/>
  <c r="B242" i="1"/>
  <c r="B243" i="1" l="1"/>
  <c r="B244" i="1"/>
  <c r="B246" i="1" l="1"/>
  <c r="B245" i="1"/>
  <c r="B247" i="1" l="1"/>
  <c r="B248" i="1"/>
  <c r="B249" i="1" l="1"/>
  <c r="B250" i="1"/>
  <c r="B252" i="1" l="1"/>
  <c r="B251" i="1"/>
  <c r="B254" i="1" l="1"/>
  <c r="B253" i="1"/>
  <c r="B255" i="1" l="1"/>
  <c r="B256" i="1"/>
  <c r="B257" i="1" l="1"/>
  <c r="B258" i="1"/>
  <c r="B260" i="1" l="1"/>
  <c r="B259" i="1"/>
  <c r="B261" i="1" l="1"/>
  <c r="B262" i="1"/>
  <c r="B263" i="1" l="1"/>
  <c r="B264" i="1"/>
  <c r="B265" i="1" l="1"/>
  <c r="B266" i="1"/>
  <c r="B267" i="1" l="1"/>
  <c r="B268" i="1"/>
  <c r="B270" i="1" l="1"/>
  <c r="B269" i="1"/>
  <c r="B272" i="1" l="1"/>
  <c r="B271" i="1"/>
  <c r="B273" i="1" l="1"/>
  <c r="B274" i="1"/>
  <c r="B276" i="1" l="1"/>
  <c r="B275" i="1"/>
  <c r="B277" i="1" l="1"/>
  <c r="B278" i="1"/>
  <c r="B279" i="1" l="1"/>
  <c r="B280" i="1"/>
  <c r="B281" i="1" l="1"/>
  <c r="B282" i="1"/>
  <c r="B284" i="1" l="1"/>
  <c r="B283" i="1"/>
  <c r="B286" i="1" l="1"/>
  <c r="B285" i="1"/>
  <c r="B288" i="1" l="1"/>
  <c r="B287" i="1"/>
  <c r="B289" i="1" l="1"/>
  <c r="B290" i="1"/>
  <c r="B291" i="1" l="1"/>
  <c r="B292" i="1"/>
  <c r="B294" i="1" l="1"/>
  <c r="B293" i="1"/>
  <c r="B296" i="1" l="1"/>
  <c r="B295" i="1"/>
  <c r="B297" i="1" l="1"/>
  <c r="B298" i="1"/>
  <c r="B300" i="1" l="1"/>
  <c r="B299" i="1"/>
  <c r="B302" i="1" l="1"/>
  <c r="B301" i="1"/>
  <c r="B304" i="1" l="1"/>
  <c r="B303" i="1"/>
  <c r="B305" i="1" l="1"/>
  <c r="B306" i="1"/>
  <c r="B307" i="1" l="1"/>
  <c r="B308" i="1"/>
  <c r="B310" i="1" l="1"/>
  <c r="B309" i="1"/>
  <c r="B312" i="1" l="1"/>
  <c r="B311" i="1"/>
  <c r="B313" i="1" l="1"/>
  <c r="B315" i="1" l="1"/>
  <c r="B316" i="1"/>
  <c r="B317" i="1" l="1"/>
  <c r="B318" i="1"/>
  <c r="B319" i="1" l="1"/>
  <c r="B320" i="1"/>
  <c r="B321" i="1" l="1"/>
  <c r="B322" i="1"/>
  <c r="B324" i="1" l="1"/>
  <c r="B323" i="1"/>
  <c r="B325" i="1" l="1"/>
  <c r="B326" i="1"/>
  <c r="B328" i="1" l="1"/>
  <c r="B327" i="1"/>
  <c r="B329" i="1" l="1"/>
  <c r="B330" i="1"/>
  <c r="B332" i="1" l="1"/>
  <c r="B331" i="1"/>
  <c r="B334" i="1" l="1"/>
  <c r="B333" i="1"/>
  <c r="B336" i="1" l="1"/>
  <c r="B337" i="1" s="1"/>
  <c r="B335" i="1"/>
  <c r="O10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 Alfaro Corrales</author>
  </authors>
  <commentList>
    <comment ref="B142" authorId="0" shapeId="0" xr:uid="{0B810600-D650-4940-BF9A-1CF4C86D3C54}">
      <text>
        <r>
          <rPr>
            <b/>
            <sz val="9"/>
            <color indexed="81"/>
            <rFont val="Tahoma"/>
            <family val="2"/>
          </rPr>
          <t>Ignacio  Alfaro Corrales:</t>
        </r>
        <r>
          <rPr>
            <sz val="9"/>
            <color indexed="81"/>
            <rFont val="Tahoma"/>
            <family val="2"/>
          </rPr>
          <t xml:space="preserve">
CUIDADO, ESTO REPRESENTA HYDROS NUEVAS Y NO NECESARIAMENTE ROR</t>
        </r>
      </text>
    </comment>
    <comment ref="B192" authorId="0" shapeId="0" xr:uid="{1FFF855A-A006-4007-BA07-A4FFED37F725}">
      <text>
        <r>
          <rPr>
            <b/>
            <sz val="9"/>
            <color indexed="81"/>
            <rFont val="Tahoma"/>
            <family val="2"/>
          </rPr>
          <t>Ignacio  Alfaro Corrales:
CUIDADO, ESTO REPRESENTA PV NUEVAS Y NO NECESARIAMENTE PV CON STORAGE</t>
        </r>
      </text>
    </comment>
    <comment ref="B212" authorId="0" shapeId="0" xr:uid="{8128DA8A-B841-4269-A9EE-61315ED38EA1}">
      <text>
        <r>
          <rPr>
            <b/>
            <sz val="9"/>
            <color indexed="81"/>
            <rFont val="Tahoma"/>
            <family val="2"/>
          </rPr>
          <t>Ignacio  Alfaro Corrales:
CUIDADO, ESTO REPRESENTA EOLICAS NUEVAS Y NO NECESARIAMENTE OFFSHORE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tc={14326C89-C21F-45FB-9845-C33E0649F40B}</author>
  </authors>
  <commentList>
    <comment ref="B102" authorId="0" shapeId="0" xr:uid="{14326C89-C21F-45FB-9845-C33E0649F40B}">
      <text>
        <t>[Threaded comment]
Your version of Excel allows you to read this threaded comment; however, any edits to it will get removed if the file is opened in a newer version of Excel. Learn more: https://go.microsoft.com/fwlink/?linkid=870924
Comment:
    A1 las generó dobles, hay que ajustar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36A478FA-DB57-4E1D-ACAB-CF534924CBF8}">
      <text>
        <r>
          <rPr>
            <b/>
            <sz val="9"/>
            <color indexed="81"/>
            <rFont val="Tahoma"/>
            <family val="2"/>
          </rPr>
          <t>Insert here rail technologies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tc={3D1F2452-7203-4FDC-8652-C93BDFBE767B}</author>
    <author>luisf</author>
  </authors>
  <commentList>
    <comment ref="K4" authorId="0" shapeId="0" xr:uid="{3D1F2452-7203-4FDC-8652-C93BDFBE76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Los residual capacity están calculados en el Excel Projections_Transport, multiplicando por valores alrededor de 0.97, disminuyendo hasta 0.58 en 2050
Reply:
    Hasta que el valor del 2038/2018 fuera 37% y el valor del 2050/2018 fuera 2%
</t>
      </text>
    </comment>
    <comment ref="J152" authorId="1" shapeId="0" xr:uid="{C5102705-C99F-4A8A-9B2E-47C3415F90E8}">
      <text>
        <r>
          <rPr>
            <b/>
            <sz val="9"/>
            <color indexed="81"/>
            <rFont val="Tahoma"/>
            <family val="2"/>
          </rPr>
          <t>Taken from an OseMOSYS run // future 0</t>
        </r>
      </text>
    </comment>
    <comment ref="J157" authorId="1" shapeId="0" xr:uid="{307A3BF2-59D0-431E-A8B4-C1C1D3112552}">
      <text>
        <r>
          <rPr>
            <b/>
            <sz val="9"/>
            <color indexed="81"/>
            <rFont val="Tahoma"/>
            <family val="2"/>
          </rPr>
          <t>Taken from an OseMOSYS run // future 0</t>
        </r>
      </text>
    </comment>
  </commentList>
</comments>
</file>

<file path=xl/sharedStrings.xml><?xml version="1.0" encoding="utf-8"?>
<sst xmlns="http://schemas.openxmlformats.org/spreadsheetml/2006/main" count="6760" uniqueCount="491">
  <si>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</si>
  <si>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</si>
  <si>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</si>
  <si>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</si>
  <si>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</si>
  <si>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</si>
  <si>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</si>
  <si>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</si>
  <si>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</si>
  <si>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DIST_CRU</t>
  </si>
  <si>
    <t>Primary - Import/Distribution - Crude</t>
  </si>
  <si>
    <t>CapacityToActivityUnit</t>
  </si>
  <si>
    <t>PJ/PJ</t>
  </si>
  <si>
    <t>OperationalLife</t>
  </si>
  <si>
    <t>Years</t>
  </si>
  <si>
    <t>DIST_NGS</t>
  </si>
  <si>
    <t>Primary - Import/Distribution - Natural Gas</t>
  </si>
  <si>
    <t>DIST_DSL</t>
  </si>
  <si>
    <t>Primary - Import/Distribution - Diesel</t>
  </si>
  <si>
    <t>DIST_GSL</t>
  </si>
  <si>
    <t>Primary - Import/Distribution - Gasoline</t>
  </si>
  <si>
    <t>DIST_LPG</t>
  </si>
  <si>
    <t>Primary - Import/Distribution - LPG</t>
  </si>
  <si>
    <t>DIST_FOI</t>
  </si>
  <si>
    <t>Primary - Import/Distribution - Fuel Oil</t>
  </si>
  <si>
    <t>DIST_COK</t>
  </si>
  <si>
    <t>Primary - Import/Distribution - Coke</t>
  </si>
  <si>
    <t>DIST_KER</t>
  </si>
  <si>
    <t>Primary - Import/Distribution - Kerosen</t>
  </si>
  <si>
    <t>DIST_COA</t>
  </si>
  <si>
    <t>Primary - Import/Distribution - Coal</t>
  </si>
  <si>
    <t>IMP_ELE</t>
  </si>
  <si>
    <t>Primary - Import - Electricity</t>
  </si>
  <si>
    <t>PJ/GW</t>
  </si>
  <si>
    <t>EXTT_CRU</t>
  </si>
  <si>
    <t>Primary Extraction/Transformation - Crude</t>
  </si>
  <si>
    <t>PPHDAM</t>
  </si>
  <si>
    <t>Power Plant - Hydro Dam</t>
  </si>
  <si>
    <t>PPHROR</t>
  </si>
  <si>
    <t>Power Plant - Hydro ROR</t>
  </si>
  <si>
    <t>Standard</t>
  </si>
  <si>
    <t>PPGEO</t>
  </si>
  <si>
    <t>Power Plant - Geothermal</t>
  </si>
  <si>
    <t>PPWNDON</t>
  </si>
  <si>
    <t>Power Plant - Wind</t>
  </si>
  <si>
    <t>PPWNDOFF</t>
  </si>
  <si>
    <t>Power Plant - Wind Offshore</t>
  </si>
  <si>
    <t>PPPVT</t>
  </si>
  <si>
    <t>Power Plant - Transmission Solar</t>
  </si>
  <si>
    <t>PPPVTHYD</t>
  </si>
  <si>
    <t>Power Plant - Transmission Solar Hydrogen</t>
  </si>
  <si>
    <t>PPPVTS</t>
  </si>
  <si>
    <t>Power Plant - Transmission Solar with battery storage</t>
  </si>
  <si>
    <t>PPPVD</t>
  </si>
  <si>
    <t>Power Plant - Distributed Solar</t>
  </si>
  <si>
    <t>DIST_FIR</t>
  </si>
  <si>
    <t>Primary - ETD - Firewood</t>
  </si>
  <si>
    <t>Does not have CAPEX, so operational life is not necessary</t>
  </si>
  <si>
    <t>DIST_BIM</t>
  </si>
  <si>
    <t>Primary - ETD - Biomass</t>
  </si>
  <si>
    <t>DIST_BGS</t>
  </si>
  <si>
    <t>Primary - ETD - Biogas</t>
  </si>
  <si>
    <t>Secondary</t>
  </si>
  <si>
    <t>REF_DSL</t>
  </si>
  <si>
    <t>Secondary Diesel Refinery</t>
  </si>
  <si>
    <t>REF_GSL</t>
  </si>
  <si>
    <t>Secondary Gasoline Refinery</t>
  </si>
  <si>
    <t>REF_LPG</t>
  </si>
  <si>
    <t>Secondary LPG Refinery</t>
  </si>
  <si>
    <t>REF_FOI</t>
  </si>
  <si>
    <t>Secondary Fuel Oil Refinery</t>
  </si>
  <si>
    <t>PPBIM</t>
  </si>
  <si>
    <t>Power Plant - Biomass</t>
  </si>
  <si>
    <t>PPBGS</t>
  </si>
  <si>
    <t>Power Plant - Biogas</t>
  </si>
  <si>
    <t>PPCOA</t>
  </si>
  <si>
    <t>Power Plant - Coal</t>
  </si>
  <si>
    <t>PPCCTDSL</t>
  </si>
  <si>
    <t>Power Plant - Combine Cycle and Gas Turbine - Diesel</t>
  </si>
  <si>
    <t>PPCCFOIDSL</t>
  </si>
  <si>
    <t>Primary -  Transformation - Combine Cycle - Fuel Oil and Diesel</t>
  </si>
  <si>
    <t>PPCCTNGS</t>
  </si>
  <si>
    <t>Power Plant- Combine Cycle and Gas Turbine - Natural Gas</t>
  </si>
  <si>
    <t>PPCCTNGSDSL</t>
  </si>
  <si>
    <t>Power Plant- Combine Cycle and Gas Turbine - Natural Gas and Diesel</t>
  </si>
  <si>
    <t>PPICEFOI</t>
  </si>
  <si>
    <t>Power Plant - Internal Combustion Engine - Fuel Oil</t>
  </si>
  <si>
    <t>PPICEGASFOI</t>
  </si>
  <si>
    <t>Power Plant - Internal Combustion Engine - Natural Gas and Fuel Oil</t>
  </si>
  <si>
    <t>ELE_TRANS</t>
  </si>
  <si>
    <t>Secondary - Power Transmission</t>
  </si>
  <si>
    <t>Provisional</t>
  </si>
  <si>
    <t>HYD_G_PROD</t>
  </si>
  <si>
    <t>Secondary - Green Hydrogen Production</t>
  </si>
  <si>
    <t>ELE_DIST</t>
  </si>
  <si>
    <t>Secondary - Power Distribution</t>
  </si>
  <si>
    <t>HYD_DIST</t>
  </si>
  <si>
    <t>Secondary  - Distribution of Hydrogen</t>
  </si>
  <si>
    <t>Demand Techs</t>
  </si>
  <si>
    <t>T5DSLCOM</t>
  </si>
  <si>
    <t>Demand Diesel for Commercial</t>
  </si>
  <si>
    <t>T5GSLCOM</t>
  </si>
  <si>
    <t>Demand Gasoline for Commercial</t>
  </si>
  <si>
    <t>T5NGSCOM</t>
  </si>
  <si>
    <t>Demand Natural gas for Commercial</t>
  </si>
  <si>
    <t>T5LPGCOM</t>
  </si>
  <si>
    <t>Demand LPG for Commercial</t>
  </si>
  <si>
    <t>T5KERCOM</t>
  </si>
  <si>
    <t>Demand Kerosen for Commercial</t>
  </si>
  <si>
    <t>T5FIRCOM</t>
  </si>
  <si>
    <t>Demand Firewood for Commercial</t>
  </si>
  <si>
    <t>T5DSLIND</t>
  </si>
  <si>
    <t>Demand Diesel for Industrial</t>
  </si>
  <si>
    <t>T5GSLIND</t>
  </si>
  <si>
    <t>Demand Gasoline for Industrial</t>
  </si>
  <si>
    <t>T5NGSIND</t>
  </si>
  <si>
    <t>Demand Natural gas for Industrial</t>
  </si>
  <si>
    <t>T5LPGIND</t>
  </si>
  <si>
    <t>Demand LPG for Industrial</t>
  </si>
  <si>
    <t>T5ELEIND</t>
  </si>
  <si>
    <t>Demand Electric for Industrial</t>
  </si>
  <si>
    <t>T5HYDIND</t>
  </si>
  <si>
    <t>Demand Hydrogen for Industrial</t>
  </si>
  <si>
    <t>T5FIRIND</t>
  </si>
  <si>
    <t>Demand Firewood for Industrial</t>
  </si>
  <si>
    <t>T5CRUIND</t>
  </si>
  <si>
    <t>Demand Crude for Industrial</t>
  </si>
  <si>
    <t>T5COAIND</t>
  </si>
  <si>
    <t>Demand Coal for Industrial</t>
  </si>
  <si>
    <t>T5FOIIND</t>
  </si>
  <si>
    <t>Demand Fuel Oil for Industrial</t>
  </si>
  <si>
    <t>T5NGSRES</t>
  </si>
  <si>
    <t>Demand Natural gas for Residential</t>
  </si>
  <si>
    <t>T5LPGRES</t>
  </si>
  <si>
    <t>Demand LPG for Residential</t>
  </si>
  <si>
    <t>T5COKRES</t>
  </si>
  <si>
    <t>Demand Coke for Residential</t>
  </si>
  <si>
    <t>T5KERRES</t>
  </si>
  <si>
    <t>Demand Kerosen for Residential</t>
  </si>
  <si>
    <t>T5FIRRES</t>
  </si>
  <si>
    <t>Demand Firewood for Residential</t>
  </si>
  <si>
    <t>T5GSLCON</t>
  </si>
  <si>
    <t>Demand Gasoline for Construction</t>
  </si>
  <si>
    <t>T5NGSCON</t>
  </si>
  <si>
    <t>Demand Natural gas for Construction</t>
  </si>
  <si>
    <t>T5COKEXP</t>
  </si>
  <si>
    <t>Demand Coke for Exports</t>
  </si>
  <si>
    <t>T5FIREXP</t>
  </si>
  <si>
    <t>Demand Firewood for Exports</t>
  </si>
  <si>
    <t>T5FOIEXP</t>
  </si>
  <si>
    <t>Demand Fuel Oil for Exports</t>
  </si>
  <si>
    <t>T5DSLTOT</t>
  </si>
  <si>
    <t>Demand Diesel for Transport - Other</t>
  </si>
  <si>
    <t>T5GSLTOT</t>
  </si>
  <si>
    <t>Demand Gasoline for Transport - Other</t>
  </si>
  <si>
    <t>T5LPGTOT</t>
  </si>
  <si>
    <t>Demand LPG for Transport - Other</t>
  </si>
  <si>
    <t>T5GSLTAC</t>
  </si>
  <si>
    <t>Demand Gasoline for Transport - Aero</t>
  </si>
  <si>
    <t>T5COKTAC</t>
  </si>
  <si>
    <t>Demand Coke for Transport - Aero</t>
  </si>
  <si>
    <t>T5DSLAGR</t>
  </si>
  <si>
    <t>Demand Diesel for Agriculture</t>
  </si>
  <si>
    <t>T5LPGAGR</t>
  </si>
  <si>
    <t>Demand LPG for Agriculture</t>
  </si>
  <si>
    <t>Transport Fuel Distribution</t>
  </si>
  <si>
    <t>T4DSL_PRI</t>
  </si>
  <si>
    <t>Distribute Diesel for Private</t>
  </si>
  <si>
    <t>T4GSL_PRI</t>
  </si>
  <si>
    <t>Distribute Gasoline for Private</t>
  </si>
  <si>
    <t>T4LPG_PRI</t>
  </si>
  <si>
    <t>Distribute LPG for Private</t>
  </si>
  <si>
    <t>T4ELE_PRI</t>
  </si>
  <si>
    <t>Distribute Electric for Private</t>
  </si>
  <si>
    <t>T4GSL_PUB</t>
  </si>
  <si>
    <t>Distribute Gasoline for Public</t>
  </si>
  <si>
    <t>T4LPG_PUB</t>
  </si>
  <si>
    <t>Distribute LPG for Public</t>
  </si>
  <si>
    <t>T4ELE_PUB</t>
  </si>
  <si>
    <t>Distribute Electric for Public</t>
  </si>
  <si>
    <t>T4NGS_PRI</t>
  </si>
  <si>
    <t>Distribute Natural gas for Private</t>
  </si>
  <si>
    <t>T4DSL_PUB</t>
  </si>
  <si>
    <t>Distribute Diesel for Public</t>
  </si>
  <si>
    <t>T4HYD_PUB</t>
  </si>
  <si>
    <t>Distribute Hydrogen for Public</t>
  </si>
  <si>
    <t>T4DSL_TUR</t>
  </si>
  <si>
    <t>Distribute Diesel for Tourism</t>
  </si>
  <si>
    <t>T4GSL_TUR</t>
  </si>
  <si>
    <t>Distribute Gasoline for Tourism</t>
  </si>
  <si>
    <t>T4LPG_TUR</t>
  </si>
  <si>
    <t>Distribute LPG for Tourism</t>
  </si>
  <si>
    <t>T4ELE_TUR</t>
  </si>
  <si>
    <t>Distribute Electric for Tourism</t>
  </si>
  <si>
    <t>T4HYD_TUR</t>
  </si>
  <si>
    <t>Distribute Hydrogen for Tourism</t>
  </si>
  <si>
    <t>T4ELE_HEA</t>
  </si>
  <si>
    <t>Distribute Electric for Heavy Freight</t>
  </si>
  <si>
    <t>T4DSL_HEA</t>
  </si>
  <si>
    <t>Distribute Diesel for Heavy Freight</t>
  </si>
  <si>
    <t>T4GSL_HEA</t>
  </si>
  <si>
    <t>Distribute Gasoline for Heavy Freight</t>
  </si>
  <si>
    <t>T4LPG_HEA</t>
  </si>
  <si>
    <t>Distribute LPG for Heavy Freight</t>
  </si>
  <si>
    <t>T4HYD_HEA</t>
  </si>
  <si>
    <t>Distribute Hydrogen for Heavy Freight</t>
  </si>
  <si>
    <t>T4DSL_LIG</t>
  </si>
  <si>
    <t>Distribute Diesel for Light Freight</t>
  </si>
  <si>
    <t>T4GSL_LIG</t>
  </si>
  <si>
    <t>Distribute Gasoline for Light Freight</t>
  </si>
  <si>
    <t>T4LPG_LIG</t>
  </si>
  <si>
    <t>Distribute LPG for Light Freight</t>
  </si>
  <si>
    <t>T4ELE_LIG</t>
  </si>
  <si>
    <t>Distribute Electric for Light Freight</t>
  </si>
  <si>
    <t>T4NGS_LIG</t>
  </si>
  <si>
    <t>Distribute Natural gas for Light Freight</t>
  </si>
  <si>
    <t>Transport Vehicles</t>
  </si>
  <si>
    <t>TRAUTDSL</t>
  </si>
  <si>
    <t>Automobiles Diesel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</si>
  <si>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</si>
  <si>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</si>
  <si>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</si>
  <si>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</si>
  <si>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</si>
  <si>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</si>
  <si>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</si>
  <si>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</si>
  <si>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TRTAXGSL</t>
  </si>
  <si>
    <t>Taxi Conchos Gasoline</t>
  </si>
  <si>
    <t>TRTAXLPG</t>
  </si>
  <si>
    <t>Taxi Conchos LPG</t>
  </si>
  <si>
    <t>TRTAXELE</t>
  </si>
  <si>
    <t>Taxi Conchos Electric</t>
  </si>
  <si>
    <t>TRMOTGSL</t>
  </si>
  <si>
    <t>Motorcycle Gasoline</t>
  </si>
  <si>
    <t>TRMOTELE</t>
  </si>
  <si>
    <t>Motorcycle Electric</t>
  </si>
  <si>
    <t>TRSUVDSL</t>
  </si>
  <si>
    <t>Jeep Diesel</t>
  </si>
  <si>
    <t>TRSUVGSL</t>
  </si>
  <si>
    <t>Jeep Gasoline</t>
  </si>
  <si>
    <t>TRSUVLPG</t>
  </si>
  <si>
    <t>Jeep LPG</t>
  </si>
  <si>
    <t>Suposición</t>
  </si>
  <si>
    <t>TRSUVELE</t>
  </si>
  <si>
    <t>Jeep Electric</t>
  </si>
  <si>
    <t>TRSUVNGS</t>
  </si>
  <si>
    <t>Jeep Natural gas</t>
  </si>
  <si>
    <t>TRBPUDSL</t>
  </si>
  <si>
    <t>Bus Public Diesel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</si>
  <si>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</si>
  <si>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</si>
  <si>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</si>
  <si>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</si>
  <si>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</si>
  <si>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</si>
  <si>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</si>
  <si>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</si>
  <si>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TRBTURDSL</t>
  </si>
  <si>
    <t>Bus Tourism Diesel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</si>
  <si>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</si>
  <si>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</si>
  <si>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</si>
  <si>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</si>
  <si>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</si>
  <si>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</si>
  <si>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</si>
  <si>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</si>
  <si>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TRMBSDSL</t>
  </si>
  <si>
    <t>Minibus Guagua Diesel</t>
  </si>
  <si>
    <t>TRMBSGSL</t>
  </si>
  <si>
    <t>Minibus Guagua Gasoline</t>
  </si>
  <si>
    <t>TRMBSLPG</t>
  </si>
  <si>
    <t>Minibus Guagua LPG</t>
  </si>
  <si>
    <t>TRMBSELE</t>
  </si>
  <si>
    <t>Minibus Guagua Electric</t>
  </si>
  <si>
    <t>TRXTTELELE</t>
  </si>
  <si>
    <t>Aerial Tramway Electric</t>
  </si>
  <si>
    <t>TRXTRAIELE</t>
  </si>
  <si>
    <t>Rail Electric</t>
  </si>
  <si>
    <t>TRXTRAIFREELE</t>
  </si>
  <si>
    <t>Rail Freight Electric</t>
  </si>
  <si>
    <t>TRYTKDSL</t>
  </si>
  <si>
    <t>Heavy Truck Diesel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</si>
  <si>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</si>
  <si>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</si>
  <si>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</si>
  <si>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</si>
  <si>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</si>
  <si>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</si>
  <si>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</si>
  <si>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</si>
  <si>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</si>
  <si>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</si>
  <si>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TRYLFDSL</t>
  </si>
  <si>
    <t>Light Truck Diesel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</si>
  <si>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</si>
  <si>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</si>
  <si>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</si>
  <si>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</si>
  <si>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</si>
  <si>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</si>
  <si>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</si>
  <si>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</si>
  <si>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</si>
  <si>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</si>
  <si>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Vehicle Groups</t>
  </si>
  <si>
    <t>Techs_Auto</t>
  </si>
  <si>
    <t>Automobiles</t>
  </si>
  <si>
    <t>Techs_Taxi</t>
  </si>
  <si>
    <t>Taxi Conchos</t>
  </si>
  <si>
    <t>Techs_Motos</t>
  </si>
  <si>
    <t>Motorcycle</t>
  </si>
  <si>
    <t>Techs_SUV</t>
  </si>
  <si>
    <t>Jeep</t>
  </si>
  <si>
    <t>Techs_Buses_Pub</t>
  </si>
  <si>
    <t>Bus Public</t>
  </si>
  <si>
    <t>Techs_Buses_Tur</t>
  </si>
  <si>
    <t>Bus Tourism</t>
  </si>
  <si>
    <t>Techs_Buses_Micro</t>
  </si>
  <si>
    <t>Minibus Guagua</t>
  </si>
  <si>
    <t>Techs_Telef</t>
  </si>
  <si>
    <t>Aerial Tramway</t>
  </si>
  <si>
    <t>Techs_Trains</t>
  </si>
  <si>
    <t>Rail</t>
  </si>
  <si>
    <t>Techs_Trains_Freight</t>
  </si>
  <si>
    <t>Rail Freight</t>
  </si>
  <si>
    <t>Techs_He_Freight</t>
  </si>
  <si>
    <t>Heavy Truck</t>
  </si>
  <si>
    <t>Techs_Li_Freight</t>
  </si>
  <si>
    <t>Light Truck</t>
  </si>
  <si>
    <t>Projection.Mode</t>
  </si>
  <si>
    <t>Projection.Parameter</t>
  </si>
  <si>
    <t>CapitalCost</t>
  </si>
  <si>
    <t>EMPTY</t>
  </si>
  <si>
    <t>FixedCost</t>
  </si>
  <si>
    <t>VariableCost</t>
  </si>
  <si>
    <t>M US$ / PJ</t>
  </si>
  <si>
    <t>User defined</t>
  </si>
  <si>
    <t>ResidualCapacity</t>
  </si>
  <si>
    <t>TotalAnnualMaxCapacity</t>
  </si>
  <si>
    <t>TotalTechnologyAnnualActivityUpperLimit</t>
  </si>
  <si>
    <t>PJ</t>
  </si>
  <si>
    <t>TotalTechnologyAnnualActivityLowerLimit</t>
  </si>
  <si>
    <t>TotalAnnualMinCapacityInvestment</t>
  </si>
  <si>
    <t>CapacityFactor</t>
  </si>
  <si>
    <t>AvailabilityFactor</t>
  </si>
  <si>
    <t>Zero</t>
  </si>
  <si>
    <t>Percent growth of incomplete years</t>
  </si>
  <si>
    <t>M US$ / GW</t>
  </si>
  <si>
    <t>Flat</t>
  </si>
  <si>
    <t>M US$ / GWh</t>
  </si>
  <si>
    <t>GW</t>
  </si>
  <si>
    <t>PJ / ideal PJ</t>
  </si>
  <si>
    <t> </t>
  </si>
  <si>
    <t>Application</t>
  </si>
  <si>
    <t>Fuel</t>
  </si>
  <si>
    <t>LTS scenarios</t>
  </si>
  <si>
    <t>TRANE6NOMOT</t>
  </si>
  <si>
    <t>Tecnología habilitadora de reducción de no-motorizado</t>
  </si>
  <si>
    <t>E6TRNOMOT</t>
  </si>
  <si>
    <t>OutputActivityRatio</t>
  </si>
  <si>
    <t>TRANRAILINF</t>
  </si>
  <si>
    <t>Rail infrastructure, stations and others</t>
  </si>
  <si>
    <t>none</t>
  </si>
  <si>
    <t>TotalAnnualMinCapacity</t>
  </si>
  <si>
    <t>Cap (generic)</t>
  </si>
  <si>
    <t>T5ELECOM</t>
  </si>
  <si>
    <t>Demand Electric for Commercial</t>
  </si>
  <si>
    <t>T5COKIND</t>
  </si>
  <si>
    <t>Demand Coke for Industrial</t>
  </si>
  <si>
    <t>T5BIMIND</t>
  </si>
  <si>
    <t>Demand Biomass for Industrial</t>
  </si>
  <si>
    <t>T5ELERES</t>
  </si>
  <si>
    <t>Demand Electric for Residential</t>
  </si>
  <si>
    <t>T5BIMRES</t>
  </si>
  <si>
    <t>Demand Biomass for Residential</t>
  </si>
  <si>
    <t>T5LPGCON</t>
  </si>
  <si>
    <t>Demand LPG for Construction</t>
  </si>
  <si>
    <t>T5NGSEXP</t>
  </si>
  <si>
    <t>Demand Natural gas for Exports</t>
  </si>
  <si>
    <t>T5KEREXP</t>
  </si>
  <si>
    <t>Demand Kerosen for Exports</t>
  </si>
  <si>
    <t>T5BIMEXP</t>
  </si>
  <si>
    <t>Demand Biomass for Exports</t>
  </si>
  <si>
    <t>T5ELETOT</t>
  </si>
  <si>
    <t>Demand Electric for Transport - Other</t>
  </si>
  <si>
    <t>T5KERTAC</t>
  </si>
  <si>
    <t>Demand Kerosen for Transport - Aero</t>
  </si>
  <si>
    <t>T5ELEAGR</t>
  </si>
  <si>
    <t>Demand Electric for Agriculture</t>
  </si>
  <si>
    <t>Unit.Introduced</t>
  </si>
  <si>
    <t>US$ / vehicle</t>
  </si>
  <si>
    <t>M US$ / Gvkm</t>
  </si>
  <si>
    <t>M US$ /Gvkm</t>
  </si>
  <si>
    <t>Vehicles</t>
  </si>
  <si>
    <t>Gvkm</t>
  </si>
  <si>
    <t>Relative to TRAUTDSL</t>
  </si>
  <si>
    <t>User defined trajectory relative to BY</t>
  </si>
  <si>
    <t>Relative to TRAUTELE</t>
  </si>
  <si>
    <t>Relative to TRSUVDSL</t>
  </si>
  <si>
    <t>Relative to TRBPUDSL</t>
  </si>
  <si>
    <t>Relative to TRBTURDSL</t>
  </si>
  <si>
    <t>Relative to TRMBSDSL</t>
  </si>
  <si>
    <t>Relative to TRYTKDSL</t>
  </si>
  <si>
    <t>Relative to TRYLFDSL</t>
  </si>
  <si>
    <t>T4HYD_PRI</t>
  </si>
  <si>
    <t>Distribute Hydrogen for Private</t>
  </si>
  <si>
    <t>T4NGS_PUB</t>
  </si>
  <si>
    <t>Distribute Natural gas for Public</t>
  </si>
  <si>
    <t>T4NGS_TUR</t>
  </si>
  <si>
    <t>Distribute Natural gas for Tourism</t>
  </si>
  <si>
    <t>T4NGS_HEA</t>
  </si>
  <si>
    <t>Distribute Natural gas for Heavy Freight</t>
  </si>
  <si>
    <t>T4HYD_LIG</t>
  </si>
  <si>
    <t>Distribute Hydrogen for Light Freight</t>
  </si>
  <si>
    <t>According to demand</t>
  </si>
  <si>
    <t>Default</t>
  </si>
  <si>
    <t>INFORME PRELIMINAR ACTUALIZADO DE LA INTERCONEXIÓN DEL SENI CON EE.UU.,COLOMBIA Y PUERTO RICO: CABLE SUBMARINOhttps://uasd.edu.do/wp-content/uploads/CABLE-SUBMARINO-PREFACTIBILIDAD-Actualizacion-CF-1-Feb-2023.pdf</t>
  </si>
  <si>
    <t>Plan Energ;etico Nacional 2022 [https://www.cne.gob.do/wp-content/uploads/2022/08/Plan-Energetico-Nacional-WEB-2022.pdf]</t>
  </si>
  <si>
    <t>World Energy Outlook 2023</t>
  </si>
  <si>
    <t>Estimado del Balance Energético de OLADE</t>
  </si>
  <si>
    <t>Costos de combustibles de reportes semanales del OCDO</t>
  </si>
  <si>
    <t>https://www.globalpetrolprices.com/lpg_prices/</t>
  </si>
  <si>
    <t>https://view.argusmedia.com/rs/584-BUW-606/images/PRO-Sample-Report-Energy-Argus-Petroleum-Coke.pdf</t>
  </si>
  <si>
    <t>https://uasd.edu.do/wp-content/uploads/CABLE-SUBMARINO-PREFACTIBILIDAD-Actualizacion-CF-1-Feb-2023.pdf</t>
  </si>
  <si>
    <t>Restricción para escenario Tendencial para evitar importación eléctrica</t>
  </si>
  <si>
    <t>2023 ATB</t>
  </si>
  <si>
    <t>Reportes anuales del OCDO</t>
  </si>
  <si>
    <t>Estimación a partir de los Reportes anuales del OCDO</t>
  </si>
  <si>
    <t>SIE-064-2022-TF con ttrayectoria del ATB y costo de baterías de ATB</t>
  </si>
  <si>
    <t>Estimación a partir de los Reportes anuales del OCDO y Plan Energético Nacional</t>
  </si>
  <si>
    <t>PEN 2022</t>
  </si>
  <si>
    <t>https://www.cne.gob.do/wp-content/uploads/2018/09/2820182920Estudio20de20la20Produccic3b3n20Actual20y20potencial20de20Biomasa.pdf</t>
  </si>
  <si>
    <t>Referencia</t>
  </si>
  <si>
    <t>Reference</t>
  </si>
  <si>
    <t>Se define con el Balance de Energía de OLADE</t>
  </si>
  <si>
    <t>Comunicación personal con proyecto de Barahona</t>
  </si>
  <si>
    <t>Reprtes semanales de costos poperativos del OCDO</t>
  </si>
  <si>
    <t>Tabla 229, PEN</t>
  </si>
  <si>
    <t>Tabla 220, PEN</t>
  </si>
  <si>
    <t>Se estimó a partir del Plan de Expansión de ETED [https://eted.gob.do/transparencia/index.php/plan-estrategico/file/50516-plan-de-expansin-actualizado-2021-2035-eted]. Se utilizan los costos de inversión reportadas entre 2021-2035 y se divide entre la demanda pico del año 2035.</t>
  </si>
  <si>
    <t>Se toma como el 0.5% de la inversión. Esto se define de la nota de pie 35 del PLAN DE EXPANSIÓN ACTUALIZADO ETED 2021-2035 [https://eted.gob.do/transparencia/index.php/plan-estrategico/file/50516-plan-de-expansin-actualizado-2021-2035-eted]</t>
  </si>
  <si>
    <t>Se utilizan las magnitudes de producción de H2 de los anexos de https://h2lac.org/wp-content/uploads/2024/02/Hacia-Estrategia-Nacional-H2V-repdom.pdf y el costo capital de https://spiral.imperial.ac.uk/bitstream/10044/1/51653/9/1-s2.0-S0360319917339435-main.pdf, Tabla uno sistema AEC.</t>
  </si>
  <si>
    <t>Se defien como un 5% del costo capital.</t>
  </si>
  <si>
    <t>Se toma de la Figura 3. de https://joint-research-centre.ec.europa.eu/document/download/5cdbd6f7-7ab4-447b-be0a-dde0a25198ab_en. Como infraestructura para hidrógeno comprimido. El Tipo de cambio se consulta de https://es.statista.com/estadisticas/606660/media-anual-de-la-tasa-de-cambio-de-euro-a-dolar-estadounidense/</t>
  </si>
  <si>
    <t>Se define como 5% del capex.</t>
  </si>
  <si>
    <t>PPADSL</t>
  </si>
  <si>
    <t>Aisolated Power Plant - Diesel</t>
  </si>
  <si>
    <t>Anexo BNEN 2018, compartido por Flady Cordeno CNE</t>
  </si>
  <si>
    <t>PPAFOI</t>
  </si>
  <si>
    <t>Aisolated Power Plant - Fuel Oil</t>
  </si>
  <si>
    <t>PPANGS</t>
  </si>
  <si>
    <t>Aisolated Power Plant - Natural Gas</t>
  </si>
  <si>
    <t>PPDBGS</t>
  </si>
  <si>
    <t>Autopord Power Plant - Biogas</t>
  </si>
  <si>
    <t>PPDDSL</t>
  </si>
  <si>
    <t>Autopord Power Plant - Diesel</t>
  </si>
  <si>
    <t>PPDFOI</t>
  </si>
  <si>
    <t>Autopord Power Plant - Fuel Oil</t>
  </si>
  <si>
    <t>PPDNGS</t>
  </si>
  <si>
    <t>Autopord Power Plant - Natural Gas</t>
  </si>
  <si>
    <t>PPDGSL</t>
  </si>
  <si>
    <t>Autopord Power Plant - Gasoline</t>
  </si>
  <si>
    <t>PPDGLP</t>
  </si>
  <si>
    <t>Autopord Power Plant - LPG</t>
  </si>
  <si>
    <t>PPDHYD</t>
  </si>
  <si>
    <t>Power Plant - Autoprod  Hydro</t>
  </si>
  <si>
    <t>PPDBIM</t>
  </si>
  <si>
    <t>Autopord Power Plant - Biomass</t>
  </si>
  <si>
    <t>Selfproducer Power Plant - Biogas</t>
  </si>
  <si>
    <t>Selfproducer Power Plant - Diesel</t>
  </si>
  <si>
    <t>Selfproducer Power Plant - Fuel Oil</t>
  </si>
  <si>
    <t>Selfproducer Power Plant - Natural Gas</t>
  </si>
  <si>
    <t>Selfproducer Power Plant - Gasoline</t>
  </si>
  <si>
    <t>Selfproducer Power Plant - LPG</t>
  </si>
  <si>
    <t>Selfproducer Power Plant - Biomass</t>
  </si>
  <si>
    <t>Power Plant - Selfproducer Power Plant  Hydro</t>
  </si>
  <si>
    <t>PRO_COA</t>
  </si>
  <si>
    <t>Primary Production - Coal</t>
  </si>
  <si>
    <t>EXTT_NGS</t>
  </si>
  <si>
    <t>Primary Extraction/Transformation - NGS</t>
  </si>
  <si>
    <t>Estimado de los datos del INGEI 2022</t>
  </si>
  <si>
    <t>T5BIMCOM</t>
  </si>
  <si>
    <t>Demand Biomass for Commercial</t>
  </si>
  <si>
    <t>Demand Biomas for Commercial</t>
  </si>
  <si>
    <t>TRXBUSEFIELE</t>
  </si>
  <si>
    <t xml:space="preserve">Bus diesel eficiente electric </t>
  </si>
  <si>
    <t>Techs_Bus_Efi</t>
  </si>
  <si>
    <t>Bus diesel eficiente</t>
  </si>
  <si>
    <t xml:space="preserve">Bus diesel eficiente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</si>
</sst>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0.00000"/>
    <numFmt numFmtId="167" formatCode="0.000"/>
    <numFmt numFmtId="168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CC00CC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CC66FF"/>
      <name val="Calibri"/>
      <family val="2"/>
      <scheme val="minor"/>
    </font>
    <font>
      <sz val="11"/>
      <color rgb="FFCC00FF"/>
      <name val="Calibri"/>
      <family val="2"/>
      <scheme val="minor"/>
    </font>
    <font>
      <sz val="11"/>
      <color rgb="FFCC0099"/>
      <name val="Calibri"/>
      <family val="2"/>
      <scheme val="minor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B6DDE8"/>
        <bgColor rgb="FFB6DDE8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B6DDE8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6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3" fillId="2" borderId="1" xfId="0" applyFont="1" applyFill="1" applyBorder="1"/>
    <xf numFmtId="0" fontId="5" fillId="7" borderId="6" xfId="0" applyFont="1" applyFill="1" applyBorder="1"/>
    <xf numFmtId="0" fontId="5" fillId="7" borderId="7" xfId="0" applyFont="1" applyFill="1" applyBorder="1"/>
    <xf numFmtId="0" fontId="1" fillId="0" borderId="1" xfId="0" applyFont="1" applyBorder="1"/>
    <xf numFmtId="0" fontId="5" fillId="8" borderId="1" xfId="0" applyFont="1" applyFill="1" applyBorder="1"/>
    <xf numFmtId="0" fontId="5" fillId="8" borderId="4" xfId="0" applyFont="1" applyFill="1" applyBorder="1"/>
    <xf numFmtId="0" fontId="5" fillId="0" borderId="0" xfId="0" applyFont="1"/>
    <xf numFmtId="0" fontId="5" fillId="8" borderId="6" xfId="0" applyFont="1" applyFill="1" applyBorder="1"/>
    <xf numFmtId="0" fontId="5" fillId="8" borderId="7" xfId="0" applyFont="1" applyFill="1" applyBorder="1"/>
    <xf numFmtId="0" fontId="7" fillId="0" borderId="1" xfId="0" applyFont="1" applyBorder="1"/>
    <xf numFmtId="0" fontId="7" fillId="0" borderId="4" xfId="0" applyFont="1" applyBorder="1"/>
    <xf numFmtId="0" fontId="6" fillId="8" borderId="7" xfId="0" applyFont="1" applyFill="1" applyBorder="1"/>
    <xf numFmtId="0" fontId="6" fillId="8" borderId="6" xfId="0" applyFont="1" applyFill="1" applyBorder="1"/>
    <xf numFmtId="0" fontId="5" fillId="7" borderId="8" xfId="0" applyFont="1" applyFill="1" applyBorder="1"/>
    <xf numFmtId="0" fontId="7" fillId="0" borderId="2" xfId="0" applyFont="1" applyBorder="1"/>
    <xf numFmtId="0" fontId="5" fillId="5" borderId="5" xfId="0" applyFont="1" applyFill="1" applyBorder="1"/>
    <xf numFmtId="0" fontId="5" fillId="7" borderId="1" xfId="0" applyFont="1" applyFill="1" applyBorder="1"/>
    <xf numFmtId="0" fontId="6" fillId="7" borderId="6" xfId="0" applyFont="1" applyFill="1" applyBorder="1"/>
    <xf numFmtId="0" fontId="6" fillId="8" borderId="1" xfId="0" applyFont="1" applyFill="1" applyBorder="1"/>
    <xf numFmtId="0" fontId="4" fillId="4" borderId="3" xfId="0" applyFont="1" applyFill="1" applyBorder="1"/>
    <xf numFmtId="0" fontId="9" fillId="5" borderId="9" xfId="0" applyFont="1" applyFill="1" applyBorder="1"/>
    <xf numFmtId="0" fontId="10" fillId="5" borderId="2" xfId="0" applyFont="1" applyFill="1" applyBorder="1"/>
    <xf numFmtId="0" fontId="9" fillId="5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10" fillId="7" borderId="1" xfId="0" applyFont="1" applyFill="1" applyBorder="1"/>
    <xf numFmtId="0" fontId="0" fillId="9" borderId="1" xfId="0" applyFill="1" applyBorder="1"/>
    <xf numFmtId="0" fontId="0" fillId="9" borderId="3" xfId="0" applyFill="1" applyBorder="1"/>
    <xf numFmtId="0" fontId="0" fillId="9" borderId="4" xfId="0" applyFill="1" applyBorder="1"/>
    <xf numFmtId="0" fontId="10" fillId="8" borderId="1" xfId="0" applyFont="1" applyFill="1" applyBorder="1"/>
    <xf numFmtId="164" fontId="0" fillId="0" borderId="0" xfId="1" applyNumberFormat="1" applyFont="1"/>
    <xf numFmtId="0" fontId="5" fillId="5" borderId="2" xfId="0" applyFont="1" applyFill="1" applyBorder="1"/>
    <xf numFmtId="0" fontId="4" fillId="9" borderId="1" xfId="0" applyFont="1" applyFill="1" applyBorder="1"/>
    <xf numFmtId="0" fontId="4" fillId="9" borderId="3" xfId="0" applyFont="1" applyFill="1" applyBorder="1"/>
    <xf numFmtId="0" fontId="4" fillId="4" borderId="1" xfId="0" applyFont="1" applyFill="1" applyBorder="1"/>
    <xf numFmtId="0" fontId="4" fillId="9" borderId="4" xfId="0" applyFont="1" applyFill="1" applyBorder="1"/>
    <xf numFmtId="0" fontId="4" fillId="4" borderId="2" xfId="0" applyFont="1" applyFill="1" applyBorder="1"/>
    <xf numFmtId="0" fontId="4" fillId="4" borderId="4" xfId="0" applyFont="1" applyFill="1" applyBorder="1"/>
    <xf numFmtId="0" fontId="4" fillId="9" borderId="2" xfId="0" applyFont="1" applyFill="1" applyBorder="1"/>
    <xf numFmtId="0" fontId="9" fillId="6" borderId="5" xfId="0" applyFont="1" applyFill="1" applyBorder="1"/>
    <xf numFmtId="0" fontId="9" fillId="6" borderId="2" xfId="0" applyFont="1" applyFill="1" applyBorder="1"/>
    <xf numFmtId="0" fontId="4" fillId="2" borderId="1" xfId="0" applyFont="1" applyFill="1" applyBorder="1"/>
    <xf numFmtId="0" fontId="0" fillId="10" borderId="1" xfId="0" applyFill="1" applyBorder="1"/>
    <xf numFmtId="0" fontId="4" fillId="10" borderId="1" xfId="0" applyFont="1" applyFill="1" applyBorder="1"/>
    <xf numFmtId="0" fontId="3" fillId="10" borderId="1" xfId="0" applyFont="1" applyFill="1" applyBorder="1"/>
    <xf numFmtId="0" fontId="0" fillId="11" borderId="1" xfId="0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0" fillId="2" borderId="11" xfId="0" applyFill="1" applyBorder="1"/>
    <xf numFmtId="0" fontId="13" fillId="3" borderId="1" xfId="0" applyFont="1" applyFill="1" applyBorder="1"/>
    <xf numFmtId="0" fontId="14" fillId="2" borderId="1" xfId="0" applyFont="1" applyFill="1" applyBorder="1"/>
    <xf numFmtId="0" fontId="12" fillId="10" borderId="1" xfId="0" applyFont="1" applyFill="1" applyBorder="1"/>
    <xf numFmtId="1" fontId="12" fillId="10" borderId="1" xfId="0" applyNumberFormat="1" applyFont="1" applyFill="1" applyBorder="1"/>
    <xf numFmtId="2" fontId="14" fillId="2" borderId="1" xfId="0" applyNumberFormat="1" applyFont="1" applyFill="1" applyBorder="1" applyAlignment="1">
      <alignment horizontal="center"/>
    </xf>
    <xf numFmtId="2" fontId="12" fillId="2" borderId="1" xfId="0" applyNumberFormat="1" applyFont="1" applyFill="1" applyBorder="1"/>
    <xf numFmtId="0" fontId="13" fillId="10" borderId="1" xfId="0" applyFont="1" applyFill="1" applyBorder="1"/>
    <xf numFmtId="0" fontId="13" fillId="2" borderId="1" xfId="0" applyFont="1" applyFill="1" applyBorder="1"/>
    <xf numFmtId="0" fontId="14" fillId="10" borderId="1" xfId="0" applyFont="1" applyFill="1" applyBorder="1"/>
    <xf numFmtId="2" fontId="13" fillId="2" borderId="1" xfId="0" applyNumberFormat="1" applyFont="1" applyFill="1" applyBorder="1"/>
    <xf numFmtId="167" fontId="13" fillId="2" borderId="1" xfId="0" applyNumberFormat="1" applyFont="1" applyFill="1" applyBorder="1"/>
    <xf numFmtId="1" fontId="13" fillId="10" borderId="1" xfId="0" applyNumberFormat="1" applyFont="1" applyFill="1" applyBorder="1"/>
    <xf numFmtId="4" fontId="0" fillId="0" borderId="1" xfId="0" applyNumberFormat="1" applyBorder="1"/>
    <xf numFmtId="0" fontId="1" fillId="0" borderId="3" xfId="0" applyFont="1" applyBorder="1" applyAlignment="1">
      <alignment horizontal="center" vertical="top"/>
    </xf>
    <xf numFmtId="0" fontId="9" fillId="5" borderId="12" xfId="0" applyFont="1" applyFill="1" applyBorder="1"/>
    <xf numFmtId="0" fontId="9" fillId="6" borderId="13" xfId="0" applyFont="1" applyFill="1" applyBorder="1"/>
    <xf numFmtId="0" fontId="9" fillId="6" borderId="12" xfId="0" applyFont="1" applyFill="1" applyBorder="1"/>
    <xf numFmtId="4" fontId="5" fillId="5" borderId="1" xfId="0" applyNumberFormat="1" applyFont="1" applyFill="1" applyBorder="1"/>
    <xf numFmtId="4" fontId="5" fillId="7" borderId="1" xfId="0" applyNumberFormat="1" applyFont="1" applyFill="1" applyBorder="1"/>
    <xf numFmtId="4" fontId="5" fillId="8" borderId="1" xfId="0" applyNumberFormat="1" applyFont="1" applyFill="1" applyBorder="1"/>
    <xf numFmtId="4" fontId="5" fillId="6" borderId="1" xfId="0" applyNumberFormat="1" applyFont="1" applyFill="1" applyBorder="1"/>
    <xf numFmtId="0" fontId="11" fillId="10" borderId="1" xfId="0" applyFont="1" applyFill="1" applyBorder="1"/>
    <xf numFmtId="0" fontId="11" fillId="0" borderId="0" xfId="0" applyFont="1"/>
    <xf numFmtId="2" fontId="11" fillId="10" borderId="1" xfId="0" applyNumberFormat="1" applyFont="1" applyFill="1" applyBorder="1"/>
    <xf numFmtId="167" fontId="11" fillId="10" borderId="1" xfId="0" applyNumberFormat="1" applyFont="1" applyFill="1" applyBorder="1"/>
    <xf numFmtId="168" fontId="11" fillId="10" borderId="1" xfId="0" applyNumberFormat="1" applyFont="1" applyFill="1" applyBorder="1"/>
    <xf numFmtId="0" fontId="15" fillId="10" borderId="1" xfId="0" applyFont="1" applyFill="1" applyBorder="1"/>
    <xf numFmtId="0" fontId="14" fillId="0" borderId="0" xfId="0" applyFont="1"/>
    <xf numFmtId="0" fontId="14" fillId="3" borderId="1" xfId="0" applyFont="1" applyFill="1" applyBorder="1"/>
    <xf numFmtId="167" fontId="13" fillId="10" borderId="1" xfId="0" applyNumberFormat="1" applyFont="1" applyFill="1" applyBorder="1"/>
    <xf numFmtId="165" fontId="14" fillId="10" borderId="1" xfId="0" applyNumberFormat="1" applyFont="1" applyFill="1" applyBorder="1"/>
    <xf numFmtId="167" fontId="14" fillId="10" borderId="1" xfId="0" applyNumberFormat="1" applyFont="1" applyFill="1" applyBorder="1"/>
    <xf numFmtId="167" fontId="0" fillId="10" borderId="1" xfId="0" applyNumberFormat="1" applyFill="1" applyBorder="1"/>
    <xf numFmtId="0" fontId="0" fillId="2" borderId="0" xfId="0" applyFill="1"/>
    <xf numFmtId="0" fontId="14" fillId="2" borderId="10" xfId="0" applyFont="1" applyFill="1" applyBorder="1"/>
    <xf numFmtId="165" fontId="0" fillId="2" borderId="1" xfId="0" applyNumberFormat="1" applyFill="1" applyBorder="1"/>
    <xf numFmtId="0" fontId="0" fillId="12" borderId="1" xfId="0" applyFill="1" applyBorder="1"/>
    <xf numFmtId="0" fontId="0" fillId="13" borderId="1" xfId="0" applyFill="1" applyBorder="1"/>
    <xf numFmtId="0" fontId="11" fillId="10" borderId="4" xfId="0" applyFont="1" applyFill="1" applyBorder="1"/>
    <xf numFmtId="2" fontId="11" fillId="10" borderId="4" xfId="0" applyNumberFormat="1" applyFont="1" applyFill="1" applyBorder="1"/>
    <xf numFmtId="0" fontId="0" fillId="10" borderId="14" xfId="0" applyFill="1" applyBorder="1"/>
    <xf numFmtId="0" fontId="3" fillId="10" borderId="14" xfId="0" applyFont="1" applyFill="1" applyBorder="1"/>
    <xf numFmtId="0" fontId="11" fillId="10" borderId="15" xfId="0" applyFont="1" applyFill="1" applyBorder="1"/>
    <xf numFmtId="0" fontId="11" fillId="10" borderId="16" xfId="0" applyFont="1" applyFill="1" applyBorder="1"/>
    <xf numFmtId="0" fontId="11" fillId="10" borderId="17" xfId="0" applyFont="1" applyFill="1" applyBorder="1"/>
    <xf numFmtId="0" fontId="11" fillId="10" borderId="10" xfId="0" applyFont="1" applyFill="1" applyBorder="1"/>
    <xf numFmtId="0" fontId="11" fillId="10" borderId="18" xfId="0" applyFont="1" applyFill="1" applyBorder="1"/>
    <xf numFmtId="2" fontId="11" fillId="10" borderId="18" xfId="0" applyNumberFormat="1" applyFont="1" applyFill="1" applyBorder="1"/>
    <xf numFmtId="166" fontId="11" fillId="10" borderId="18" xfId="0" applyNumberFormat="1" applyFont="1" applyFill="1" applyBorder="1"/>
    <xf numFmtId="0" fontId="11" fillId="10" borderId="19" xfId="0" applyFont="1" applyFill="1" applyBorder="1"/>
    <xf numFmtId="0" fontId="11" fillId="10" borderId="20" xfId="0" applyFont="1" applyFill="1" applyBorder="1"/>
    <xf numFmtId="0" fontId="11" fillId="10" borderId="21" xfId="0" applyFont="1" applyFill="1" applyBorder="1"/>
    <xf numFmtId="167" fontId="11" fillId="10" borderId="4" xfId="0" applyNumberFormat="1" applyFont="1" applyFill="1" applyBorder="1"/>
    <xf numFmtId="168" fontId="11" fillId="10" borderId="4" xfId="0" applyNumberFormat="1" applyFont="1" applyFill="1" applyBorder="1"/>
    <xf numFmtId="167" fontId="11" fillId="10" borderId="18" xfId="0" applyNumberFormat="1" applyFont="1" applyFill="1" applyBorder="1"/>
    <xf numFmtId="168" fontId="11" fillId="10" borderId="18" xfId="0" applyNumberFormat="1" applyFont="1" applyFill="1" applyBorder="1"/>
    <xf numFmtId="0" fontId="0" fillId="2" borderId="6" xfId="0" applyFill="1" applyBorder="1"/>
    <xf numFmtId="0" fontId="13" fillId="2" borderId="6" xfId="0" applyFont="1" applyFill="1" applyBorder="1"/>
    <xf numFmtId="2" fontId="13" fillId="2" borderId="6" xfId="0" applyNumberFormat="1" applyFont="1" applyFill="1" applyBorder="1"/>
    <xf numFmtId="2" fontId="11" fillId="12" borderId="18" xfId="0" applyNumberFormat="1" applyFont="1" applyFill="1" applyBorder="1"/>
    <xf numFmtId="2" fontId="11" fillId="12" borderId="4" xfId="0" applyNumberFormat="1" applyFont="1" applyFill="1" applyBorder="1"/>
    <xf numFmtId="2" fontId="11" fillId="12" borderId="1" xfId="0" applyNumberFormat="1" applyFont="1" applyFill="1" applyBorder="1"/>
    <xf numFmtId="167" fontId="11" fillId="12" borderId="18" xfId="0" applyNumberFormat="1" applyFont="1" applyFill="1" applyBorder="1"/>
    <xf numFmtId="167" fontId="11" fillId="12" borderId="4" xfId="0" applyNumberFormat="1" applyFont="1" applyFill="1" applyBorder="1"/>
    <xf numFmtId="167" fontId="11" fillId="12" borderId="1" xfId="0" applyNumberFormat="1" applyFont="1" applyFill="1" applyBorder="1"/>
    <xf numFmtId="0" fontId="11" fillId="14" borderId="1" xfId="0" applyFont="1" applyFill="1" applyBorder="1"/>
    <xf numFmtId="165" fontId="11" fillId="14" borderId="18" xfId="0" applyNumberFormat="1" applyFont="1" applyFill="1" applyBorder="1"/>
    <xf numFmtId="165" fontId="11" fillId="14" borderId="4" xfId="0" applyNumberFormat="1" applyFont="1" applyFill="1" applyBorder="1"/>
    <xf numFmtId="165" fontId="11" fillId="14" borderId="1" xfId="0" applyNumberFormat="1" applyFont="1" applyFill="1" applyBorder="1"/>
    <xf numFmtId="165" fontId="11" fillId="10" borderId="1" xfId="0" applyNumberFormat="1" applyFont="1" applyFill="1" applyBorder="1"/>
    <xf numFmtId="2" fontId="11" fillId="14" borderId="1" xfId="0" applyNumberFormat="1" applyFont="1" applyFill="1" applyBorder="1"/>
    <xf numFmtId="0" fontId="14" fillId="14" borderId="1" xfId="0" applyFont="1" applyFill="1" applyBorder="1"/>
    <xf numFmtId="0" fontId="0" fillId="14" borderId="1" xfId="0" applyFill="1" applyBorder="1"/>
    <xf numFmtId="0" fontId="0" fillId="13" borderId="14" xfId="0" applyFill="1" applyBorder="1"/>
    <xf numFmtId="0" fontId="0" fillId="15" borderId="1" xfId="0" applyFill="1" applyBorder="1"/>
    <xf numFmtId="0" fontId="3" fillId="14" borderId="1" xfId="0" applyFont="1" applyFill="1" applyBorder="1"/>
    <xf numFmtId="0" fontId="0" fillId="16" borderId="1" xfId="0" applyFill="1" applyBorder="1"/>
    <xf numFmtId="0" fontId="5" fillId="17" borderId="6" xfId="0" applyFont="1" applyFill="1" applyBorder="1"/>
    <xf numFmtId="0" fontId="5" fillId="17" borderId="7" xfId="0" applyFont="1" applyFill="1" applyBorder="1"/>
    <xf numFmtId="0" fontId="5" fillId="17" borderId="7" xfId="0" applyFont="1" applyFill="1" applyBorder="1" applyAlignment="1">
      <alignment horizontal="left"/>
    </xf>
    <xf numFmtId="0" fontId="5" fillId="17" borderId="7" xfId="0" applyFont="1" applyFill="1" applyBorder="1" applyAlignment="1">
      <alignment horizontal="left" vertical="center"/>
    </xf>
    <xf numFmtId="0" fontId="0" fillId="12" borderId="3" xfId="0" applyFill="1" applyBorder="1"/>
    <xf numFmtId="0" fontId="6" fillId="17" borderId="6" xfId="0" applyFont="1" applyFill="1" applyBorder="1"/>
    <xf numFmtId="0" fontId="0" fillId="12" borderId="4" xfId="0" applyFill="1" applyBorder="1"/>
    <xf numFmtId="0" fontId="9" fillId="18" borderId="5" xfId="0" applyFont="1" applyFill="1" applyBorder="1"/>
    <xf numFmtId="0" fontId="9" fillId="18" borderId="13" xfId="0" applyFont="1" applyFill="1" applyBorder="1"/>
    <xf numFmtId="4" fontId="5" fillId="18" borderId="1" xfId="0" applyNumberFormat="1" applyFont="1" applyFill="1" applyBorder="1"/>
    <xf numFmtId="0" fontId="9" fillId="18" borderId="2" xfId="0" applyFont="1" applyFill="1" applyBorder="1"/>
    <xf numFmtId="0" fontId="9" fillId="18" borderId="12" xfId="0" applyFont="1" applyFill="1" applyBorder="1"/>
    <xf numFmtId="4" fontId="5" fillId="17" borderId="1" xfId="0" applyNumberFormat="1" applyFont="1" applyFill="1" applyBorder="1"/>
    <xf numFmtId="2" fontId="0" fillId="2" borderId="1" xfId="0" applyNumberFormat="1" applyFill="1" applyBorder="1"/>
    <xf numFmtId="0" fontId="0" fillId="2" borderId="14" xfId="0" applyFill="1" applyBorder="1"/>
    <xf numFmtId="0" fontId="0" fillId="10" borderId="6" xfId="0" applyFill="1" applyBorder="1"/>
    <xf numFmtId="0" fontId="14" fillId="10" borderId="6" xfId="0" applyFont="1" applyFill="1" applyBorder="1"/>
    <xf numFmtId="0" fontId="0" fillId="2" borderId="15" xfId="0" applyFill="1" applyBorder="1"/>
    <xf numFmtId="0" fontId="0" fillId="15" borderId="16" xfId="0" applyFill="1" applyBorder="1"/>
    <xf numFmtId="0" fontId="0" fillId="2" borderId="16" xfId="0" applyFill="1" applyBorder="1"/>
    <xf numFmtId="0" fontId="14" fillId="2" borderId="16" xfId="0" applyFont="1" applyFill="1" applyBorder="1"/>
    <xf numFmtId="0" fontId="0" fillId="2" borderId="17" xfId="0" applyFill="1" applyBorder="1"/>
    <xf numFmtId="0" fontId="0" fillId="2" borderId="10" xfId="0" applyFill="1" applyBorder="1"/>
    <xf numFmtId="0" fontId="0" fillId="2" borderId="18" xfId="0" applyFill="1" applyBorder="1"/>
    <xf numFmtId="0" fontId="0" fillId="2" borderId="19" xfId="0" applyFill="1" applyBorder="1"/>
    <xf numFmtId="0" fontId="0" fillId="15" borderId="20" xfId="0" applyFill="1" applyBorder="1"/>
    <xf numFmtId="0" fontId="0" fillId="2" borderId="20" xfId="0" applyFill="1" applyBorder="1"/>
    <xf numFmtId="0" fontId="0" fillId="2" borderId="21" xfId="0" applyFill="1" applyBorder="1"/>
    <xf numFmtId="0" fontId="0" fillId="14" borderId="18" xfId="0" applyFill="1" applyBorder="1"/>
  </cellXfs>
  <cellStyles count="3">
    <cellStyle name="Normal" xfId="0" builtinId="0"/>
    <cellStyle name="Percent" xfId="1" builtinId="5"/>
    <cellStyle name="Porcentaje 2" xfId="2" xr:uid="{277C8869-6B3B-42AB-9127-169391129D79}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ía  Rodríguez Delgado" id="{DC467F50-FD06-4303-8296-FF0AC6924940}" userId="S::lrodriguez@clg-cr.com::989b44ba-24a6-426e-8d2c-9e178c528dd2" providerId="AD"/>
  <person displayName="Mariana Rodríguez-Arce" id="{BA765AE6-7248-47C1-8496-9369AB615056}" userId="S::mrodriguez@clg-cr.com::e9ca1aa1-7ea7-4c4b-85ee-54ae8b9b68d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2" dT="2024-02-21T23:45:05.63" personId="{BA765AE6-7248-47C1-8496-9369AB615056}" id="{14326C89-C21F-45FB-9845-C33E0649F40B}">
    <text>A1 las generó dobles, hay que ajustar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4" dT="2024-05-11T20:22:39.42" personId="{DC467F50-FD06-4303-8296-FF0AC6924940}" id="{3D1F2452-7203-4FDC-8652-C93BDFBE767B}">
    <text>Los residual capacity están calculados en el Excel Projections_Transport, multiplicando por valores alrededor de 0.97, disminuyendo hasta 0.58 en 2050</text>
  </threadedComment>
  <threadedComment ref="K4" dT="2024-05-11T20:24:04.59" personId="{DC467F50-FD06-4303-8296-FF0AC6924940}" id="{48E5E546-8287-49E6-A314-51D6F5347965}" parentId="{3D1F2452-7203-4FDC-8652-C93BDFBE767B}">
    <text xml:space="preserve">Hasta que el valor del 2038/2018 fuera 37% y el valor del 2050/2018 fuera 2%
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opLeftCell="A331" workbookViewId="0">
      <selection activeCell="A338" sqref="A338:H341"/>
    </sheetView>
  </sheetViews>
  <sheetFormatPr defaultColWidth="8.6640625" defaultRowHeight="14.4" x14ac:dyDescent="0.3"/>
  <cols>
    <col min="1" max="1" width="23.44140625" bestFit="1" customWidth="1"/>
    <col min="2" max="2" width="11.6640625" bestFit="1" customWidth="1"/>
    <col min="3" max="3" width="22.33203125" bestFit="1" customWidth="1"/>
    <col min="4" max="4" width="59.5546875" bestFit="1" customWidth="1"/>
    <col min="5" max="5" width="16.6640625" bestFit="1" customWidth="1"/>
    <col min="6" max="6" width="20.44140625" bestFit="1" customWidth="1"/>
    <col min="7" max="7" width="42.33203125" bestFit="1" customWidth="1"/>
    <col min="8" max="8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12</v>
      </c>
      <c r="H2" s="2">
        <v>1</v>
      </c>
    </row>
    <row r="3" spans="1:8" x14ac:dyDescent="0.3">
      <c r="A3" s="2" t="s">
        <v>8</v>
      </c>
      <c r="B3" s="2">
        <v>1</v>
      </c>
      <c r="C3" s="2" t="s">
        <v>9</v>
      </c>
      <c r="D3" s="2" t="s">
        <v>10</v>
      </c>
      <c r="E3" s="2">
        <v>2</v>
      </c>
      <c r="F3" s="2" t="s">
        <v>13</v>
      </c>
      <c r="G3" s="2" t="s">
        <v>14</v>
      </c>
      <c r="H3" s="2">
        <v>1</v>
      </c>
    </row>
    <row r="4" spans="1:8" x14ac:dyDescent="0.3">
      <c r="A4" s="2" t="s">
        <v>8</v>
      </c>
      <c r="B4" s="2">
        <v>2</v>
      </c>
      <c r="C4" s="2" t="s">
        <v>15</v>
      </c>
      <c r="D4" s="2" t="s">
        <v>16</v>
      </c>
      <c r="E4" s="2">
        <v>1</v>
      </c>
      <c r="F4" s="2" t="s">
        <v>11</v>
      </c>
      <c r="G4" s="2" t="s">
        <v>12</v>
      </c>
      <c r="H4" s="2">
        <v>1</v>
      </c>
    </row>
    <row r="5" spans="1:8" x14ac:dyDescent="0.3">
      <c r="A5" s="2" t="s">
        <v>8</v>
      </c>
      <c r="B5" s="2">
        <v>2</v>
      </c>
      <c r="C5" s="2" t="s">
        <v>15</v>
      </c>
      <c r="D5" s="2" t="s">
        <v>16</v>
      </c>
      <c r="E5" s="2">
        <v>2</v>
      </c>
      <c r="F5" s="2" t="s">
        <v>13</v>
      </c>
      <c r="G5" s="2" t="s">
        <v>14</v>
      </c>
      <c r="H5" s="2">
        <v>1</v>
      </c>
    </row>
    <row r="6" spans="1:8" x14ac:dyDescent="0.3">
      <c r="A6" s="2" t="s">
        <v>8</v>
      </c>
      <c r="B6" s="2">
        <v>3</v>
      </c>
      <c r="C6" s="2" t="s">
        <v>17</v>
      </c>
      <c r="D6" s="2" t="s">
        <v>18</v>
      </c>
      <c r="E6" s="2">
        <v>1</v>
      </c>
      <c r="F6" s="2" t="s">
        <v>11</v>
      </c>
      <c r="G6" s="2" t="s">
        <v>12</v>
      </c>
      <c r="H6" s="2">
        <v>1</v>
      </c>
    </row>
    <row r="7" spans="1:8" x14ac:dyDescent="0.3">
      <c r="A7" s="2" t="s">
        <v>8</v>
      </c>
      <c r="B7" s="2">
        <v>3</v>
      </c>
      <c r="C7" s="2" t="s">
        <v>17</v>
      </c>
      <c r="D7" s="2" t="s">
        <v>18</v>
      </c>
      <c r="E7" s="2">
        <v>2</v>
      </c>
      <c r="F7" s="2" t="s">
        <v>13</v>
      </c>
      <c r="G7" s="2" t="s">
        <v>14</v>
      </c>
      <c r="H7" s="2">
        <v>1</v>
      </c>
    </row>
    <row r="8" spans="1:8" x14ac:dyDescent="0.3">
      <c r="A8" s="2" t="s">
        <v>8</v>
      </c>
      <c r="B8" s="2">
        <v>4</v>
      </c>
      <c r="C8" s="2" t="s">
        <v>19</v>
      </c>
      <c r="D8" s="2" t="s">
        <v>20</v>
      </c>
      <c r="E8" s="2">
        <v>1</v>
      </c>
      <c r="F8" s="2" t="s">
        <v>11</v>
      </c>
      <c r="G8" s="2" t="s">
        <v>12</v>
      </c>
      <c r="H8" s="2">
        <v>1</v>
      </c>
    </row>
    <row r="9" spans="1:8" x14ac:dyDescent="0.3">
      <c r="A9" s="2" t="s">
        <v>8</v>
      </c>
      <c r="B9" s="2">
        <v>4</v>
      </c>
      <c r="C9" s="2" t="s">
        <v>19</v>
      </c>
      <c r="D9" s="2" t="s">
        <v>20</v>
      </c>
      <c r="E9" s="2">
        <v>2</v>
      </c>
      <c r="F9" s="2" t="s">
        <v>13</v>
      </c>
      <c r="G9" s="2" t="s">
        <v>14</v>
      </c>
      <c r="H9" s="2">
        <v>1</v>
      </c>
    </row>
    <row r="10" spans="1:8" x14ac:dyDescent="0.3">
      <c r="A10" s="2" t="s">
        <v>8</v>
      </c>
      <c r="B10" s="2">
        <v>5</v>
      </c>
      <c r="C10" s="2" t="s">
        <v>21</v>
      </c>
      <c r="D10" s="2" t="s">
        <v>22</v>
      </c>
      <c r="E10" s="2">
        <v>1</v>
      </c>
      <c r="F10" s="2" t="s">
        <v>11</v>
      </c>
      <c r="G10" s="2" t="s">
        <v>12</v>
      </c>
      <c r="H10" s="2">
        <v>1</v>
      </c>
    </row>
    <row r="11" spans="1:8" x14ac:dyDescent="0.3">
      <c r="A11" s="2" t="s">
        <v>8</v>
      </c>
      <c r="B11" s="2">
        <v>5</v>
      </c>
      <c r="C11" s="2" t="s">
        <v>21</v>
      </c>
      <c r="D11" s="2" t="s">
        <v>22</v>
      </c>
      <c r="E11" s="2">
        <v>2</v>
      </c>
      <c r="F11" s="2" t="s">
        <v>13</v>
      </c>
      <c r="G11" s="2" t="s">
        <v>14</v>
      </c>
      <c r="H11" s="2">
        <v>1</v>
      </c>
    </row>
    <row r="12" spans="1:8" x14ac:dyDescent="0.3">
      <c r="A12" s="2" t="s">
        <v>8</v>
      </c>
      <c r="B12" s="2">
        <v>6</v>
      </c>
      <c r="C12" s="2" t="s">
        <v>23</v>
      </c>
      <c r="D12" s="2" t="s">
        <v>24</v>
      </c>
      <c r="E12" s="2">
        <v>1</v>
      </c>
      <c r="F12" s="2" t="s">
        <v>11</v>
      </c>
      <c r="G12" s="2" t="s">
        <v>12</v>
      </c>
      <c r="H12" s="2">
        <v>1</v>
      </c>
    </row>
    <row r="13" spans="1:8" x14ac:dyDescent="0.3">
      <c r="A13" s="2" t="s">
        <v>8</v>
      </c>
      <c r="B13" s="2">
        <v>6</v>
      </c>
      <c r="C13" s="2" t="s">
        <v>23</v>
      </c>
      <c r="D13" s="2" t="s">
        <v>24</v>
      </c>
      <c r="E13" s="2">
        <v>2</v>
      </c>
      <c r="F13" s="2" t="s">
        <v>13</v>
      </c>
      <c r="G13" s="2" t="s">
        <v>14</v>
      </c>
      <c r="H13" s="2">
        <v>1</v>
      </c>
    </row>
    <row r="14" spans="1:8" x14ac:dyDescent="0.3">
      <c r="A14" s="2" t="s">
        <v>8</v>
      </c>
      <c r="B14" s="2">
        <v>7</v>
      </c>
      <c r="C14" s="2" t="s">
        <v>25</v>
      </c>
      <c r="D14" s="2" t="s">
        <v>26</v>
      </c>
      <c r="E14" s="2">
        <v>1</v>
      </c>
      <c r="F14" s="2" t="s">
        <v>11</v>
      </c>
      <c r="G14" s="2" t="s">
        <v>12</v>
      </c>
      <c r="H14" s="2">
        <v>1</v>
      </c>
    </row>
    <row r="15" spans="1:8" x14ac:dyDescent="0.3">
      <c r="A15" s="2" t="s">
        <v>8</v>
      </c>
      <c r="B15" s="2">
        <v>7</v>
      </c>
      <c r="C15" s="2" t="s">
        <v>25</v>
      </c>
      <c r="D15" s="2" t="s">
        <v>26</v>
      </c>
      <c r="E15" s="2">
        <v>2</v>
      </c>
      <c r="F15" s="2" t="s">
        <v>13</v>
      </c>
      <c r="G15" s="2" t="s">
        <v>14</v>
      </c>
      <c r="H15" s="2">
        <v>1</v>
      </c>
    </row>
    <row r="16" spans="1:8" x14ac:dyDescent="0.3">
      <c r="A16" s="2" t="s">
        <v>8</v>
      </c>
      <c r="B16" s="2">
        <v>8</v>
      </c>
      <c r="C16" s="2" t="s">
        <v>27</v>
      </c>
      <c r="D16" s="2" t="s">
        <v>28</v>
      </c>
      <c r="E16" s="2">
        <v>1</v>
      </c>
      <c r="F16" s="2" t="s">
        <v>11</v>
      </c>
      <c r="G16" s="2" t="s">
        <v>12</v>
      </c>
      <c r="H16" s="2">
        <v>1</v>
      </c>
    </row>
    <row r="17" spans="1:9" x14ac:dyDescent="0.3">
      <c r="A17" s="2" t="s">
        <v>8</v>
      </c>
      <c r="B17" s="2">
        <v>8</v>
      </c>
      <c r="C17" s="2" t="s">
        <v>27</v>
      </c>
      <c r="D17" s="2" t="s">
        <v>28</v>
      </c>
      <c r="E17" s="2">
        <v>2</v>
      </c>
      <c r="F17" s="2" t="s">
        <v>13</v>
      </c>
      <c r="G17" s="2" t="s">
        <v>14</v>
      </c>
      <c r="H17" s="2">
        <v>1</v>
      </c>
    </row>
    <row r="18" spans="1:9" x14ac:dyDescent="0.3">
      <c r="A18" s="2" t="s">
        <v>8</v>
      </c>
      <c r="B18" s="2">
        <v>9</v>
      </c>
      <c r="C18" s="2" t="s">
        <v>29</v>
      </c>
      <c r="D18" s="2" t="s">
        <v>30</v>
      </c>
      <c r="E18" s="2">
        <v>1</v>
      </c>
      <c r="F18" s="2" t="s">
        <v>11</v>
      </c>
      <c r="G18" s="2" t="s">
        <v>12</v>
      </c>
      <c r="H18" s="2">
        <v>1</v>
      </c>
    </row>
    <row r="19" spans="1:9" x14ac:dyDescent="0.3">
      <c r="A19" s="2" t="s">
        <v>8</v>
      </c>
      <c r="B19" s="2">
        <v>9</v>
      </c>
      <c r="C19" s="2" t="s">
        <v>29</v>
      </c>
      <c r="D19" s="2" t="s">
        <v>30</v>
      </c>
      <c r="E19" s="2">
        <v>2</v>
      </c>
      <c r="F19" s="2" t="s">
        <v>13</v>
      </c>
      <c r="G19" s="2" t="s">
        <v>14</v>
      </c>
      <c r="H19" s="2">
        <v>1</v>
      </c>
    </row>
    <row r="20" spans="1:9" x14ac:dyDescent="0.3">
      <c r="A20" s="2" t="s">
        <v>8</v>
      </c>
      <c r="B20" s="2">
        <f>B18+1</f>
        <v>10</v>
      </c>
      <c r="C20" s="2" t="s">
        <v>31</v>
      </c>
      <c r="D20" s="2" t="s">
        <v>32</v>
      </c>
      <c r="E20" s="2">
        <v>1</v>
      </c>
      <c r="F20" s="53" t="s">
        <v>11</v>
      </c>
      <c r="G20" s="53" t="s">
        <v>33</v>
      </c>
      <c r="H20" s="53">
        <v>31.356000000000002</v>
      </c>
      <c r="I20" s="54" t="s">
        <v>417</v>
      </c>
    </row>
    <row r="21" spans="1:9" x14ac:dyDescent="0.3">
      <c r="A21" s="2" t="s">
        <v>8</v>
      </c>
      <c r="B21" s="2">
        <f>B20</f>
        <v>10</v>
      </c>
      <c r="C21" s="2" t="s">
        <v>31</v>
      </c>
      <c r="D21" s="2" t="s">
        <v>32</v>
      </c>
      <c r="E21" s="2">
        <v>2</v>
      </c>
      <c r="F21" s="53" t="s">
        <v>13</v>
      </c>
      <c r="G21" s="53" t="s">
        <v>14</v>
      </c>
      <c r="H21" s="53">
        <v>30</v>
      </c>
      <c r="I21" s="54" t="s">
        <v>418</v>
      </c>
    </row>
    <row r="22" spans="1:9" x14ac:dyDescent="0.3">
      <c r="A22" s="2" t="s">
        <v>8</v>
      </c>
      <c r="B22" s="2">
        <f t="shared" ref="B22" si="0">B20+1</f>
        <v>11</v>
      </c>
      <c r="C22" s="2" t="s">
        <v>478</v>
      </c>
      <c r="D22" s="2" t="s">
        <v>479</v>
      </c>
      <c r="E22" s="2">
        <v>1</v>
      </c>
      <c r="F22" s="53" t="s">
        <v>11</v>
      </c>
      <c r="G22" s="53" t="s">
        <v>33</v>
      </c>
      <c r="H22" s="53">
        <v>1</v>
      </c>
      <c r="I22" s="88"/>
    </row>
    <row r="23" spans="1:9" x14ac:dyDescent="0.3">
      <c r="A23" s="2" t="s">
        <v>8</v>
      </c>
      <c r="B23" s="2">
        <f t="shared" ref="B23" si="1">B22</f>
        <v>11</v>
      </c>
      <c r="C23" s="2" t="s">
        <v>478</v>
      </c>
      <c r="D23" s="2" t="s">
        <v>479</v>
      </c>
      <c r="E23" s="2">
        <v>2</v>
      </c>
      <c r="F23" s="53" t="s">
        <v>13</v>
      </c>
      <c r="G23" s="53" t="s">
        <v>14</v>
      </c>
      <c r="H23" s="53">
        <v>1</v>
      </c>
      <c r="I23" s="88"/>
    </row>
    <row r="24" spans="1:9" x14ac:dyDescent="0.3">
      <c r="A24" s="2" t="s">
        <v>8</v>
      </c>
      <c r="B24" s="2">
        <f t="shared" ref="B24" si="2">B22+1</f>
        <v>12</v>
      </c>
      <c r="C24" s="2" t="s">
        <v>34</v>
      </c>
      <c r="D24" s="2" t="s">
        <v>35</v>
      </c>
      <c r="E24" s="2">
        <v>1</v>
      </c>
      <c r="F24" s="2" t="s">
        <v>11</v>
      </c>
      <c r="G24" s="2" t="s">
        <v>12</v>
      </c>
      <c r="H24" s="2">
        <v>1</v>
      </c>
    </row>
    <row r="25" spans="1:9" x14ac:dyDescent="0.3">
      <c r="A25" s="2" t="s">
        <v>8</v>
      </c>
      <c r="B25" s="2">
        <f t="shared" ref="B25" si="3">B24</f>
        <v>12</v>
      </c>
      <c r="C25" s="2" t="s">
        <v>34</v>
      </c>
      <c r="D25" s="2" t="s">
        <v>35</v>
      </c>
      <c r="E25" s="2">
        <v>2</v>
      </c>
      <c r="F25" s="2" t="s">
        <v>13</v>
      </c>
      <c r="G25" s="2" t="s">
        <v>14</v>
      </c>
      <c r="H25" s="2">
        <v>1</v>
      </c>
    </row>
    <row r="26" spans="1:9" x14ac:dyDescent="0.3">
      <c r="A26" s="2" t="s">
        <v>8</v>
      </c>
      <c r="B26" s="2">
        <f t="shared" ref="B26" si="4">B24+1</f>
        <v>13</v>
      </c>
      <c r="C26" s="2" t="s">
        <v>480</v>
      </c>
      <c r="D26" s="2" t="s">
        <v>481</v>
      </c>
      <c r="E26" s="2">
        <v>1</v>
      </c>
      <c r="F26" s="2" t="s">
        <v>11</v>
      </c>
      <c r="G26" s="2" t="s">
        <v>12</v>
      </c>
      <c r="H26" s="2">
        <v>1</v>
      </c>
    </row>
    <row r="27" spans="1:9" x14ac:dyDescent="0.3">
      <c r="A27" s="2" t="s">
        <v>8</v>
      </c>
      <c r="B27" s="2">
        <f t="shared" ref="B27" si="5">B26</f>
        <v>13</v>
      </c>
      <c r="C27" s="2" t="s">
        <v>480</v>
      </c>
      <c r="D27" s="2" t="s">
        <v>481</v>
      </c>
      <c r="E27" s="2">
        <v>2</v>
      </c>
      <c r="F27" s="2" t="s">
        <v>13</v>
      </c>
      <c r="G27" s="2" t="s">
        <v>14</v>
      </c>
      <c r="H27" s="2">
        <v>1</v>
      </c>
    </row>
    <row r="28" spans="1:9" x14ac:dyDescent="0.3">
      <c r="A28" s="3" t="s">
        <v>8</v>
      </c>
      <c r="B28" s="3">
        <f t="shared" ref="B28" si="6">B26+1</f>
        <v>14</v>
      </c>
      <c r="C28" s="3" t="s">
        <v>36</v>
      </c>
      <c r="D28" s="3" t="s">
        <v>37</v>
      </c>
      <c r="E28" s="3">
        <v>1</v>
      </c>
      <c r="F28" s="3" t="s">
        <v>11</v>
      </c>
      <c r="G28" s="3" t="s">
        <v>33</v>
      </c>
      <c r="H28" s="55">
        <v>31.356000000000002</v>
      </c>
      <c r="I28" s="55" t="s">
        <v>417</v>
      </c>
    </row>
    <row r="29" spans="1:9" x14ac:dyDescent="0.3">
      <c r="A29" s="3" t="s">
        <v>8</v>
      </c>
      <c r="B29" s="3">
        <f t="shared" ref="B29" si="7">B28</f>
        <v>14</v>
      </c>
      <c r="C29" s="3" t="s">
        <v>36</v>
      </c>
      <c r="D29" s="3" t="s">
        <v>37</v>
      </c>
      <c r="E29" s="3">
        <v>2</v>
      </c>
      <c r="F29" s="3" t="s">
        <v>13</v>
      </c>
      <c r="G29" s="3" t="s">
        <v>14</v>
      </c>
      <c r="H29" s="55">
        <v>30</v>
      </c>
      <c r="I29" s="55" t="s">
        <v>419</v>
      </c>
    </row>
    <row r="30" spans="1:9" x14ac:dyDescent="0.3">
      <c r="A30" s="3" t="s">
        <v>8</v>
      </c>
      <c r="B30" s="3">
        <f t="shared" ref="B30:B46" si="8">B28+1</f>
        <v>15</v>
      </c>
      <c r="C30" s="3" t="s">
        <v>38</v>
      </c>
      <c r="D30" s="3" t="s">
        <v>39</v>
      </c>
      <c r="E30" s="3">
        <v>1</v>
      </c>
      <c r="F30" s="3" t="s">
        <v>11</v>
      </c>
      <c r="G30" s="3" t="s">
        <v>33</v>
      </c>
      <c r="H30" s="55">
        <v>31.356000000000002</v>
      </c>
      <c r="I30" s="55" t="s">
        <v>417</v>
      </c>
    </row>
    <row r="31" spans="1:9" x14ac:dyDescent="0.3">
      <c r="A31" s="3" t="s">
        <v>8</v>
      </c>
      <c r="B31" s="3">
        <f t="shared" ref="B31:B47" si="9">B30</f>
        <v>15</v>
      </c>
      <c r="C31" s="3" t="s">
        <v>38</v>
      </c>
      <c r="D31" s="3" t="s">
        <v>39</v>
      </c>
      <c r="E31" s="3">
        <v>2</v>
      </c>
      <c r="F31" s="3" t="s">
        <v>13</v>
      </c>
      <c r="G31" s="3" t="s">
        <v>14</v>
      </c>
      <c r="H31" s="55">
        <v>30</v>
      </c>
      <c r="I31" s="55" t="s">
        <v>419</v>
      </c>
    </row>
    <row r="32" spans="1:9" x14ac:dyDescent="0.3">
      <c r="A32" s="3" t="s">
        <v>8</v>
      </c>
      <c r="B32" s="3">
        <f t="shared" ref="B32:B48" si="10">B30+1</f>
        <v>16</v>
      </c>
      <c r="C32" s="3" t="s">
        <v>41</v>
      </c>
      <c r="D32" s="3" t="s">
        <v>42</v>
      </c>
      <c r="E32" s="3">
        <v>1</v>
      </c>
      <c r="F32" s="3" t="s">
        <v>11</v>
      </c>
      <c r="G32" s="3" t="s">
        <v>33</v>
      </c>
      <c r="H32" s="55">
        <v>31.356000000000002</v>
      </c>
      <c r="I32" s="55" t="s">
        <v>417</v>
      </c>
    </row>
    <row r="33" spans="1:9" x14ac:dyDescent="0.3">
      <c r="A33" s="3" t="s">
        <v>8</v>
      </c>
      <c r="B33" s="3">
        <f t="shared" ref="B33:B49" si="11">B32</f>
        <v>16</v>
      </c>
      <c r="C33" s="3" t="s">
        <v>41</v>
      </c>
      <c r="D33" s="3" t="s">
        <v>42</v>
      </c>
      <c r="E33" s="3">
        <v>2</v>
      </c>
      <c r="F33" s="3" t="s">
        <v>13</v>
      </c>
      <c r="G33" s="3" t="s">
        <v>14</v>
      </c>
      <c r="H33" s="55">
        <v>50</v>
      </c>
      <c r="I33" s="55" t="s">
        <v>419</v>
      </c>
    </row>
    <row r="34" spans="1:9" x14ac:dyDescent="0.3">
      <c r="A34" s="3" t="s">
        <v>8</v>
      </c>
      <c r="B34" s="3">
        <f t="shared" ref="B34:B50" si="12">B32+1</f>
        <v>17</v>
      </c>
      <c r="C34" s="3" t="s">
        <v>43</v>
      </c>
      <c r="D34" s="3" t="s">
        <v>44</v>
      </c>
      <c r="E34" s="3">
        <v>1</v>
      </c>
      <c r="F34" s="3" t="s">
        <v>11</v>
      </c>
      <c r="G34" s="3" t="s">
        <v>33</v>
      </c>
      <c r="H34" s="55">
        <v>31.356000000000002</v>
      </c>
      <c r="I34" s="55" t="s">
        <v>417</v>
      </c>
    </row>
    <row r="35" spans="1:9" x14ac:dyDescent="0.3">
      <c r="A35" s="3" t="s">
        <v>8</v>
      </c>
      <c r="B35" s="3">
        <f t="shared" ref="B35:B51" si="13">B34</f>
        <v>17</v>
      </c>
      <c r="C35" s="3" t="s">
        <v>43</v>
      </c>
      <c r="D35" s="3" t="s">
        <v>44</v>
      </c>
      <c r="E35" s="3">
        <v>2</v>
      </c>
      <c r="F35" s="3" t="s">
        <v>13</v>
      </c>
      <c r="G35" s="3" t="s">
        <v>14</v>
      </c>
      <c r="H35" s="55">
        <v>25</v>
      </c>
      <c r="I35" s="55" t="s">
        <v>419</v>
      </c>
    </row>
    <row r="36" spans="1:9" x14ac:dyDescent="0.3">
      <c r="A36" s="3" t="s">
        <v>8</v>
      </c>
      <c r="B36" s="3">
        <f t="shared" ref="B36" si="14">B34+1</f>
        <v>18</v>
      </c>
      <c r="C36" s="3" t="s">
        <v>45</v>
      </c>
      <c r="D36" s="3" t="s">
        <v>46</v>
      </c>
      <c r="E36" s="3">
        <v>1</v>
      </c>
      <c r="F36" s="3" t="s">
        <v>11</v>
      </c>
      <c r="G36" s="3" t="s">
        <v>33</v>
      </c>
      <c r="H36" s="55">
        <v>31.356000000000002</v>
      </c>
      <c r="I36" s="55" t="s">
        <v>417</v>
      </c>
    </row>
    <row r="37" spans="1:9" x14ac:dyDescent="0.3">
      <c r="A37" s="3" t="s">
        <v>8</v>
      </c>
      <c r="B37" s="3">
        <f t="shared" ref="B37" si="15">B36</f>
        <v>18</v>
      </c>
      <c r="C37" s="3" t="s">
        <v>45</v>
      </c>
      <c r="D37" s="3" t="s">
        <v>46</v>
      </c>
      <c r="E37" s="3">
        <v>2</v>
      </c>
      <c r="F37" s="3" t="s">
        <v>13</v>
      </c>
      <c r="G37" s="3" t="s">
        <v>14</v>
      </c>
      <c r="H37" s="55">
        <v>25</v>
      </c>
      <c r="I37" s="55" t="s">
        <v>419</v>
      </c>
    </row>
    <row r="38" spans="1:9" x14ac:dyDescent="0.3">
      <c r="A38" s="3" t="s">
        <v>8</v>
      </c>
      <c r="B38" s="3">
        <f t="shared" si="8"/>
        <v>19</v>
      </c>
      <c r="C38" s="3" t="s">
        <v>47</v>
      </c>
      <c r="D38" s="3" t="s">
        <v>48</v>
      </c>
      <c r="E38" s="3">
        <v>1</v>
      </c>
      <c r="F38" s="3" t="s">
        <v>11</v>
      </c>
      <c r="G38" s="3" t="s">
        <v>33</v>
      </c>
      <c r="H38" s="55">
        <v>31.356000000000002</v>
      </c>
      <c r="I38" s="55" t="s">
        <v>417</v>
      </c>
    </row>
    <row r="39" spans="1:9" x14ac:dyDescent="0.3">
      <c r="A39" s="3" t="s">
        <v>8</v>
      </c>
      <c r="B39" s="3">
        <f t="shared" si="9"/>
        <v>19</v>
      </c>
      <c r="C39" s="3" t="s">
        <v>47</v>
      </c>
      <c r="D39" s="3" t="s">
        <v>48</v>
      </c>
      <c r="E39" s="3">
        <v>2</v>
      </c>
      <c r="F39" s="3" t="s">
        <v>13</v>
      </c>
      <c r="G39" s="3" t="s">
        <v>14</v>
      </c>
      <c r="H39" s="55">
        <v>25</v>
      </c>
      <c r="I39" s="55" t="s">
        <v>419</v>
      </c>
    </row>
    <row r="40" spans="1:9" x14ac:dyDescent="0.3">
      <c r="A40" s="3" t="s">
        <v>8</v>
      </c>
      <c r="B40" s="3">
        <f t="shared" si="10"/>
        <v>20</v>
      </c>
      <c r="C40" s="3" t="s">
        <v>49</v>
      </c>
      <c r="D40" s="3" t="s">
        <v>50</v>
      </c>
      <c r="E40" s="3">
        <v>1</v>
      </c>
      <c r="F40" s="3" t="s">
        <v>11</v>
      </c>
      <c r="G40" s="3" t="s">
        <v>33</v>
      </c>
      <c r="H40" s="55">
        <v>31.356000000000002</v>
      </c>
      <c r="I40" s="55" t="s">
        <v>417</v>
      </c>
    </row>
    <row r="41" spans="1:9" x14ac:dyDescent="0.3">
      <c r="A41" s="3" t="s">
        <v>8</v>
      </c>
      <c r="B41" s="3">
        <f t="shared" si="11"/>
        <v>20</v>
      </c>
      <c r="C41" s="3" t="s">
        <v>49</v>
      </c>
      <c r="D41" s="3" t="s">
        <v>50</v>
      </c>
      <c r="E41" s="3">
        <v>2</v>
      </c>
      <c r="F41" s="3" t="s">
        <v>13</v>
      </c>
      <c r="G41" s="3" t="s">
        <v>14</v>
      </c>
      <c r="H41" s="55">
        <v>25</v>
      </c>
      <c r="I41" s="55" t="s">
        <v>419</v>
      </c>
    </row>
    <row r="42" spans="1:9" x14ac:dyDescent="0.3">
      <c r="A42" s="3" t="s">
        <v>8</v>
      </c>
      <c r="B42" s="3">
        <f t="shared" si="12"/>
        <v>21</v>
      </c>
      <c r="C42" s="3" t="s">
        <v>51</v>
      </c>
      <c r="D42" s="3" t="s">
        <v>52</v>
      </c>
      <c r="E42" s="3">
        <v>1</v>
      </c>
      <c r="F42" s="3" t="s">
        <v>11</v>
      </c>
      <c r="G42" s="3" t="s">
        <v>33</v>
      </c>
      <c r="H42" s="55">
        <v>31.356000000000002</v>
      </c>
      <c r="I42" s="55" t="s">
        <v>417</v>
      </c>
    </row>
    <row r="43" spans="1:9" x14ac:dyDescent="0.3">
      <c r="A43" s="3" t="s">
        <v>8</v>
      </c>
      <c r="B43" s="3">
        <f t="shared" si="13"/>
        <v>21</v>
      </c>
      <c r="C43" s="3" t="s">
        <v>51</v>
      </c>
      <c r="D43" s="3" t="s">
        <v>52</v>
      </c>
      <c r="E43" s="3">
        <v>2</v>
      </c>
      <c r="F43" s="3" t="s">
        <v>13</v>
      </c>
      <c r="G43" s="3" t="s">
        <v>14</v>
      </c>
      <c r="H43" s="55">
        <v>25</v>
      </c>
      <c r="I43" s="55" t="s">
        <v>419</v>
      </c>
    </row>
    <row r="44" spans="1:9" x14ac:dyDescent="0.3">
      <c r="A44" s="3" t="s">
        <v>8</v>
      </c>
      <c r="B44" s="3">
        <f t="shared" ref="B44" si="16">B42+1</f>
        <v>22</v>
      </c>
      <c r="C44" s="3" t="s">
        <v>53</v>
      </c>
      <c r="D44" s="3" t="s">
        <v>54</v>
      </c>
      <c r="E44" s="3">
        <v>1</v>
      </c>
      <c r="F44" s="3" t="s">
        <v>11</v>
      </c>
      <c r="G44" s="3" t="s">
        <v>33</v>
      </c>
      <c r="H44" s="55">
        <v>31.356000000000002</v>
      </c>
      <c r="I44" s="55" t="s">
        <v>417</v>
      </c>
    </row>
    <row r="45" spans="1:9" x14ac:dyDescent="0.3">
      <c r="A45" s="3" t="s">
        <v>8</v>
      </c>
      <c r="B45" s="3">
        <f t="shared" ref="B45" si="17">B44</f>
        <v>22</v>
      </c>
      <c r="C45" s="3" t="s">
        <v>53</v>
      </c>
      <c r="D45" s="3" t="s">
        <v>54</v>
      </c>
      <c r="E45" s="3">
        <v>2</v>
      </c>
      <c r="F45" s="3" t="s">
        <v>13</v>
      </c>
      <c r="G45" s="3" t="s">
        <v>14</v>
      </c>
      <c r="H45" s="55">
        <v>25</v>
      </c>
      <c r="I45" s="55" t="s">
        <v>419</v>
      </c>
    </row>
    <row r="46" spans="1:9" s="82" customFormat="1" x14ac:dyDescent="0.3">
      <c r="A46" s="83" t="s">
        <v>8</v>
      </c>
      <c r="B46" s="83">
        <f t="shared" si="8"/>
        <v>23</v>
      </c>
      <c r="C46" s="83" t="s">
        <v>466</v>
      </c>
      <c r="D46" s="83" t="s">
        <v>467</v>
      </c>
      <c r="E46" s="83">
        <v>1</v>
      </c>
      <c r="F46" s="83" t="s">
        <v>11</v>
      </c>
      <c r="G46" s="83" t="s">
        <v>33</v>
      </c>
      <c r="H46" s="83">
        <v>31.356000000000002</v>
      </c>
      <c r="I46" s="83" t="s">
        <v>417</v>
      </c>
    </row>
    <row r="47" spans="1:9" s="82" customFormat="1" x14ac:dyDescent="0.3">
      <c r="A47" s="83" t="s">
        <v>8</v>
      </c>
      <c r="B47" s="83">
        <f t="shared" si="9"/>
        <v>23</v>
      </c>
      <c r="C47" s="83" t="s">
        <v>466</v>
      </c>
      <c r="D47" s="83" t="s">
        <v>467</v>
      </c>
      <c r="E47" s="83">
        <v>2</v>
      </c>
      <c r="F47" s="83" t="s">
        <v>13</v>
      </c>
      <c r="G47" s="83" t="s">
        <v>14</v>
      </c>
      <c r="H47" s="83">
        <v>25</v>
      </c>
      <c r="I47" s="83" t="s">
        <v>419</v>
      </c>
    </row>
    <row r="48" spans="1:9" x14ac:dyDescent="0.3">
      <c r="A48" s="2" t="s">
        <v>8</v>
      </c>
      <c r="B48" s="2">
        <f t="shared" si="10"/>
        <v>24</v>
      </c>
      <c r="C48" s="2" t="s">
        <v>55</v>
      </c>
      <c r="D48" s="2" t="s">
        <v>56</v>
      </c>
      <c r="E48" s="2">
        <v>1</v>
      </c>
      <c r="F48" s="2" t="s">
        <v>11</v>
      </c>
      <c r="G48" s="2" t="s">
        <v>33</v>
      </c>
      <c r="H48" s="2">
        <v>1</v>
      </c>
      <c r="I48" t="s">
        <v>40</v>
      </c>
    </row>
    <row r="49" spans="1:9" x14ac:dyDescent="0.3">
      <c r="A49" s="2" t="s">
        <v>8</v>
      </c>
      <c r="B49" s="2">
        <f t="shared" si="11"/>
        <v>24</v>
      </c>
      <c r="C49" s="2" t="s">
        <v>55</v>
      </c>
      <c r="D49" s="2" t="s">
        <v>56</v>
      </c>
      <c r="E49" s="2">
        <v>2</v>
      </c>
      <c r="F49" s="2" t="s">
        <v>13</v>
      </c>
      <c r="G49" s="2" t="s">
        <v>14</v>
      </c>
      <c r="H49" s="2">
        <v>1</v>
      </c>
      <c r="I49" t="s">
        <v>57</v>
      </c>
    </row>
    <row r="50" spans="1:9" x14ac:dyDescent="0.3">
      <c r="A50" s="2" t="s">
        <v>8</v>
      </c>
      <c r="B50" s="2">
        <f t="shared" si="12"/>
        <v>25</v>
      </c>
      <c r="C50" s="2" t="s">
        <v>58</v>
      </c>
      <c r="D50" s="2" t="s">
        <v>59</v>
      </c>
      <c r="E50" s="2">
        <v>1</v>
      </c>
      <c r="F50" s="2" t="s">
        <v>11</v>
      </c>
      <c r="G50" s="2" t="s">
        <v>33</v>
      </c>
      <c r="H50" s="2">
        <v>1</v>
      </c>
      <c r="I50" t="s">
        <v>40</v>
      </c>
    </row>
    <row r="51" spans="1:9" x14ac:dyDescent="0.3">
      <c r="A51" s="2" t="s">
        <v>8</v>
      </c>
      <c r="B51" s="2">
        <f t="shared" si="13"/>
        <v>25</v>
      </c>
      <c r="C51" s="2" t="s">
        <v>58</v>
      </c>
      <c r="D51" s="2" t="s">
        <v>59</v>
      </c>
      <c r="E51" s="2">
        <v>2</v>
      </c>
      <c r="F51" s="2" t="s">
        <v>13</v>
      </c>
      <c r="G51" s="2" t="s">
        <v>14</v>
      </c>
      <c r="H51" s="2">
        <v>1</v>
      </c>
      <c r="I51" t="s">
        <v>57</v>
      </c>
    </row>
    <row r="52" spans="1:9" x14ac:dyDescent="0.3">
      <c r="A52" s="2" t="s">
        <v>8</v>
      </c>
      <c r="B52" s="2">
        <f t="shared" ref="B52" si="18">B50+1</f>
        <v>26</v>
      </c>
      <c r="C52" s="2" t="s">
        <v>60</v>
      </c>
      <c r="D52" s="2" t="s">
        <v>61</v>
      </c>
      <c r="E52" s="2">
        <v>1</v>
      </c>
      <c r="F52" s="2" t="s">
        <v>11</v>
      </c>
      <c r="G52" s="2" t="s">
        <v>33</v>
      </c>
      <c r="H52" s="2">
        <v>1</v>
      </c>
      <c r="I52" t="s">
        <v>40</v>
      </c>
    </row>
    <row r="53" spans="1:9" x14ac:dyDescent="0.3">
      <c r="A53" s="2" t="s">
        <v>8</v>
      </c>
      <c r="B53" s="2">
        <f t="shared" ref="B53" si="19">B52</f>
        <v>26</v>
      </c>
      <c r="C53" s="2" t="s">
        <v>60</v>
      </c>
      <c r="D53" s="2" t="s">
        <v>61</v>
      </c>
      <c r="E53" s="2">
        <v>2</v>
      </c>
      <c r="F53" s="2" t="s">
        <v>13</v>
      </c>
      <c r="G53" s="2" t="s">
        <v>14</v>
      </c>
      <c r="H53" s="2">
        <v>1</v>
      </c>
      <c r="I53" t="s">
        <v>57</v>
      </c>
    </row>
    <row r="54" spans="1:9" x14ac:dyDescent="0.3">
      <c r="A54" s="2" t="s">
        <v>62</v>
      </c>
      <c r="B54" s="2">
        <v>1</v>
      </c>
      <c r="C54" s="2" t="s">
        <v>63</v>
      </c>
      <c r="D54" s="2" t="s">
        <v>64</v>
      </c>
      <c r="E54" s="2">
        <v>1</v>
      </c>
      <c r="F54" s="2" t="s">
        <v>11</v>
      </c>
      <c r="G54" s="2"/>
      <c r="H54" s="2">
        <v>1</v>
      </c>
    </row>
    <row r="55" spans="1:9" x14ac:dyDescent="0.3">
      <c r="A55" s="2" t="s">
        <v>62</v>
      </c>
      <c r="B55" s="2">
        <f t="shared" ref="B55:B79" si="20">B54</f>
        <v>1</v>
      </c>
      <c r="C55" s="2" t="s">
        <v>63</v>
      </c>
      <c r="D55" s="2" t="s">
        <v>64</v>
      </c>
      <c r="E55" s="2">
        <v>2</v>
      </c>
      <c r="F55" s="2" t="s">
        <v>13</v>
      </c>
      <c r="G55" s="2"/>
      <c r="H55" s="2">
        <v>1</v>
      </c>
    </row>
    <row r="56" spans="1:9" x14ac:dyDescent="0.3">
      <c r="A56" s="2" t="s">
        <v>62</v>
      </c>
      <c r="B56" s="2">
        <f t="shared" ref="B56:B80" si="21">B54+1</f>
        <v>2</v>
      </c>
      <c r="C56" s="2" t="s">
        <v>65</v>
      </c>
      <c r="D56" s="2" t="s">
        <v>66</v>
      </c>
      <c r="E56" s="2">
        <v>1</v>
      </c>
      <c r="F56" s="2" t="s">
        <v>11</v>
      </c>
      <c r="G56" s="2"/>
      <c r="H56" s="2">
        <v>1</v>
      </c>
    </row>
    <row r="57" spans="1:9" x14ac:dyDescent="0.3">
      <c r="A57" s="2" t="s">
        <v>62</v>
      </c>
      <c r="B57" s="2">
        <f t="shared" ref="B57:B81" si="22">B56</f>
        <v>2</v>
      </c>
      <c r="C57" s="2" t="s">
        <v>65</v>
      </c>
      <c r="D57" s="2" t="s">
        <v>66</v>
      </c>
      <c r="E57" s="2">
        <v>2</v>
      </c>
      <c r="F57" s="2" t="s">
        <v>13</v>
      </c>
      <c r="G57" s="2"/>
      <c r="H57" s="2">
        <v>1</v>
      </c>
    </row>
    <row r="58" spans="1:9" x14ac:dyDescent="0.3">
      <c r="A58" s="2" t="s">
        <v>62</v>
      </c>
      <c r="B58" s="2">
        <f t="shared" ref="B58" si="23">B56+1</f>
        <v>3</v>
      </c>
      <c r="C58" s="2" t="s">
        <v>67</v>
      </c>
      <c r="D58" s="2" t="s">
        <v>68</v>
      </c>
      <c r="E58" s="2">
        <v>1</v>
      </c>
      <c r="F58" s="2" t="s">
        <v>11</v>
      </c>
      <c r="G58" s="2"/>
      <c r="H58" s="2">
        <v>1</v>
      </c>
    </row>
    <row r="59" spans="1:9" x14ac:dyDescent="0.3">
      <c r="A59" s="2" t="s">
        <v>62</v>
      </c>
      <c r="B59" s="2">
        <f t="shared" ref="B59" si="24">B58</f>
        <v>3</v>
      </c>
      <c r="C59" s="2" t="s">
        <v>67</v>
      </c>
      <c r="D59" s="2" t="s">
        <v>68</v>
      </c>
      <c r="E59" s="2">
        <v>2</v>
      </c>
      <c r="F59" s="2" t="s">
        <v>13</v>
      </c>
      <c r="G59" s="2"/>
      <c r="H59" s="2">
        <v>1</v>
      </c>
    </row>
    <row r="60" spans="1:9" x14ac:dyDescent="0.3">
      <c r="A60" s="2" t="s">
        <v>62</v>
      </c>
      <c r="B60" s="2">
        <f t="shared" ref="B60:B76" si="25">B58+1</f>
        <v>4</v>
      </c>
      <c r="C60" s="2" t="s">
        <v>69</v>
      </c>
      <c r="D60" s="2" t="s">
        <v>70</v>
      </c>
      <c r="E60" s="2">
        <v>1</v>
      </c>
      <c r="F60" s="2" t="s">
        <v>11</v>
      </c>
      <c r="G60" s="2"/>
      <c r="H60" s="2">
        <v>1</v>
      </c>
    </row>
    <row r="61" spans="1:9" x14ac:dyDescent="0.3">
      <c r="A61" s="2" t="s">
        <v>62</v>
      </c>
      <c r="B61" s="2">
        <f t="shared" ref="B61:B77" si="26">B60</f>
        <v>4</v>
      </c>
      <c r="C61" s="2" t="s">
        <v>69</v>
      </c>
      <c r="D61" s="2" t="s">
        <v>70</v>
      </c>
      <c r="E61" s="2">
        <v>2</v>
      </c>
      <c r="F61" s="2" t="s">
        <v>13</v>
      </c>
      <c r="G61" s="2"/>
      <c r="H61" s="2">
        <v>1</v>
      </c>
    </row>
    <row r="62" spans="1:9" x14ac:dyDescent="0.3">
      <c r="A62" s="2" t="s">
        <v>62</v>
      </c>
      <c r="B62" s="2">
        <f t="shared" ref="B62:B78" si="27">B60+1</f>
        <v>5</v>
      </c>
      <c r="C62" s="2" t="s">
        <v>71</v>
      </c>
      <c r="D62" s="2" t="s">
        <v>72</v>
      </c>
      <c r="E62" s="2">
        <v>1</v>
      </c>
      <c r="F62" s="2" t="s">
        <v>11</v>
      </c>
      <c r="G62" s="2" t="s">
        <v>33</v>
      </c>
      <c r="H62" s="2">
        <v>31.356000000000002</v>
      </c>
    </row>
    <row r="63" spans="1:9" x14ac:dyDescent="0.3">
      <c r="A63" s="2" t="s">
        <v>62</v>
      </c>
      <c r="B63" s="2">
        <f t="shared" si="20"/>
        <v>5</v>
      </c>
      <c r="C63" s="2" t="s">
        <v>71</v>
      </c>
      <c r="D63" s="2" t="s">
        <v>72</v>
      </c>
      <c r="E63" s="2">
        <v>2</v>
      </c>
      <c r="F63" s="2" t="s">
        <v>13</v>
      </c>
      <c r="G63" s="2" t="s">
        <v>14</v>
      </c>
      <c r="H63" s="2">
        <v>25</v>
      </c>
    </row>
    <row r="64" spans="1:9" x14ac:dyDescent="0.3">
      <c r="A64" s="2" t="s">
        <v>62</v>
      </c>
      <c r="B64" s="2">
        <f t="shared" si="21"/>
        <v>6</v>
      </c>
      <c r="C64" s="2" t="s">
        <v>73</v>
      </c>
      <c r="D64" s="2" t="s">
        <v>74</v>
      </c>
      <c r="E64" s="2">
        <v>1</v>
      </c>
      <c r="F64" s="2" t="s">
        <v>11</v>
      </c>
      <c r="G64" s="2" t="s">
        <v>33</v>
      </c>
      <c r="H64" s="2">
        <v>31.356000000000002</v>
      </c>
    </row>
    <row r="65" spans="1:8" x14ac:dyDescent="0.3">
      <c r="A65" s="2" t="s">
        <v>62</v>
      </c>
      <c r="B65" s="2">
        <f t="shared" si="22"/>
        <v>6</v>
      </c>
      <c r="C65" s="2" t="s">
        <v>73</v>
      </c>
      <c r="D65" s="2" t="s">
        <v>74</v>
      </c>
      <c r="E65" s="2">
        <v>2</v>
      </c>
      <c r="F65" s="2" t="s">
        <v>13</v>
      </c>
      <c r="G65" s="2" t="s">
        <v>14</v>
      </c>
      <c r="H65" s="2">
        <v>25</v>
      </c>
    </row>
    <row r="66" spans="1:8" x14ac:dyDescent="0.3">
      <c r="A66" s="2" t="s">
        <v>62</v>
      </c>
      <c r="B66" s="2">
        <f t="shared" ref="B66" si="28">B64+1</f>
        <v>7</v>
      </c>
      <c r="C66" s="2" t="s">
        <v>75</v>
      </c>
      <c r="D66" s="2" t="s">
        <v>76</v>
      </c>
      <c r="E66" s="2">
        <v>1</v>
      </c>
      <c r="F66" s="2" t="s">
        <v>11</v>
      </c>
      <c r="G66" s="2" t="s">
        <v>33</v>
      </c>
      <c r="H66" s="2">
        <v>31.356000000000002</v>
      </c>
    </row>
    <row r="67" spans="1:8" x14ac:dyDescent="0.3">
      <c r="A67" s="2" t="s">
        <v>62</v>
      </c>
      <c r="B67" s="2">
        <f t="shared" ref="B67" si="29">B66</f>
        <v>7</v>
      </c>
      <c r="C67" s="2" t="s">
        <v>75</v>
      </c>
      <c r="D67" s="2" t="s">
        <v>76</v>
      </c>
      <c r="E67" s="2">
        <v>2</v>
      </c>
      <c r="F67" s="2" t="s">
        <v>13</v>
      </c>
      <c r="G67" s="2" t="s">
        <v>14</v>
      </c>
      <c r="H67" s="2">
        <v>25</v>
      </c>
    </row>
    <row r="68" spans="1:8" x14ac:dyDescent="0.3">
      <c r="A68" s="2" t="s">
        <v>62</v>
      </c>
      <c r="B68" s="2">
        <f t="shared" si="25"/>
        <v>8</v>
      </c>
      <c r="C68" s="2" t="s">
        <v>77</v>
      </c>
      <c r="D68" s="2" t="s">
        <v>78</v>
      </c>
      <c r="E68" s="2">
        <v>1</v>
      </c>
      <c r="F68" s="2" t="s">
        <v>11</v>
      </c>
      <c r="G68" s="2" t="s">
        <v>33</v>
      </c>
      <c r="H68" s="2">
        <v>31.356000000000002</v>
      </c>
    </row>
    <row r="69" spans="1:8" x14ac:dyDescent="0.3">
      <c r="A69" s="2" t="s">
        <v>62</v>
      </c>
      <c r="B69" s="2">
        <f t="shared" si="26"/>
        <v>8</v>
      </c>
      <c r="C69" s="2" t="s">
        <v>77</v>
      </c>
      <c r="D69" s="2" t="s">
        <v>78</v>
      </c>
      <c r="E69" s="2">
        <v>2</v>
      </c>
      <c r="F69" s="2" t="s">
        <v>13</v>
      </c>
      <c r="G69" s="2" t="s">
        <v>14</v>
      </c>
      <c r="H69" s="2">
        <v>25</v>
      </c>
    </row>
    <row r="70" spans="1:8" x14ac:dyDescent="0.3">
      <c r="A70" s="2" t="s">
        <v>62</v>
      </c>
      <c r="B70" s="2">
        <f t="shared" si="27"/>
        <v>9</v>
      </c>
      <c r="C70" s="2" t="s">
        <v>79</v>
      </c>
      <c r="D70" s="2" t="s">
        <v>80</v>
      </c>
      <c r="E70" s="2">
        <v>1</v>
      </c>
      <c r="F70" s="2" t="s">
        <v>11</v>
      </c>
      <c r="G70" s="2" t="s">
        <v>33</v>
      </c>
      <c r="H70" s="2">
        <v>31.356000000000002</v>
      </c>
    </row>
    <row r="71" spans="1:8" x14ac:dyDescent="0.3">
      <c r="A71" s="2" t="s">
        <v>62</v>
      </c>
      <c r="B71" s="2">
        <f t="shared" si="20"/>
        <v>9</v>
      </c>
      <c r="C71" s="2" t="s">
        <v>79</v>
      </c>
      <c r="D71" s="2" t="s">
        <v>80</v>
      </c>
      <c r="E71" s="2">
        <v>2</v>
      </c>
      <c r="F71" s="2" t="s">
        <v>13</v>
      </c>
      <c r="G71" s="2" t="s">
        <v>14</v>
      </c>
      <c r="H71" s="2">
        <v>25</v>
      </c>
    </row>
    <row r="72" spans="1:8" x14ac:dyDescent="0.3">
      <c r="A72" s="2" t="s">
        <v>62</v>
      </c>
      <c r="B72" s="2">
        <f t="shared" si="21"/>
        <v>10</v>
      </c>
      <c r="C72" s="2" t="s">
        <v>81</v>
      </c>
      <c r="D72" s="2" t="s">
        <v>82</v>
      </c>
      <c r="E72" s="2">
        <v>1</v>
      </c>
      <c r="F72" s="2" t="s">
        <v>11</v>
      </c>
      <c r="G72" s="2" t="s">
        <v>33</v>
      </c>
      <c r="H72" s="2">
        <v>31.356000000000002</v>
      </c>
    </row>
    <row r="73" spans="1:8" x14ac:dyDescent="0.3">
      <c r="A73" s="2" t="s">
        <v>62</v>
      </c>
      <c r="B73" s="2">
        <f t="shared" si="22"/>
        <v>10</v>
      </c>
      <c r="C73" s="2" t="s">
        <v>81</v>
      </c>
      <c r="D73" s="2" t="s">
        <v>82</v>
      </c>
      <c r="E73" s="2">
        <v>2</v>
      </c>
      <c r="F73" s="2" t="s">
        <v>13</v>
      </c>
      <c r="G73" s="2" t="s">
        <v>14</v>
      </c>
      <c r="H73" s="2">
        <v>25</v>
      </c>
    </row>
    <row r="74" spans="1:8" x14ac:dyDescent="0.3">
      <c r="A74" s="2" t="s">
        <v>62</v>
      </c>
      <c r="B74" s="2">
        <f t="shared" ref="B74" si="30">B72+1</f>
        <v>11</v>
      </c>
      <c r="C74" s="2" t="s">
        <v>83</v>
      </c>
      <c r="D74" s="2" t="s">
        <v>84</v>
      </c>
      <c r="E74" s="2">
        <v>1</v>
      </c>
      <c r="F74" s="2" t="s">
        <v>11</v>
      </c>
      <c r="G74" s="2" t="s">
        <v>33</v>
      </c>
      <c r="H74" s="2">
        <v>31.356000000000002</v>
      </c>
    </row>
    <row r="75" spans="1:8" x14ac:dyDescent="0.3">
      <c r="A75" s="2" t="s">
        <v>62</v>
      </c>
      <c r="B75" s="2">
        <f t="shared" ref="B75" si="31">B74</f>
        <v>11</v>
      </c>
      <c r="C75" s="2" t="s">
        <v>83</v>
      </c>
      <c r="D75" s="2" t="s">
        <v>84</v>
      </c>
      <c r="E75" s="2">
        <v>2</v>
      </c>
      <c r="F75" s="2" t="s">
        <v>13</v>
      </c>
      <c r="G75" s="2" t="s">
        <v>14</v>
      </c>
      <c r="H75" s="2">
        <v>25</v>
      </c>
    </row>
    <row r="76" spans="1:8" x14ac:dyDescent="0.3">
      <c r="A76" s="2" t="s">
        <v>62</v>
      </c>
      <c r="B76" s="2">
        <f t="shared" si="25"/>
        <v>12</v>
      </c>
      <c r="C76" s="2" t="s">
        <v>85</v>
      </c>
      <c r="D76" s="2" t="s">
        <v>86</v>
      </c>
      <c r="E76" s="2">
        <v>1</v>
      </c>
      <c r="F76" s="2" t="s">
        <v>11</v>
      </c>
      <c r="G76" s="2" t="s">
        <v>33</v>
      </c>
      <c r="H76" s="2">
        <v>31.356000000000002</v>
      </c>
    </row>
    <row r="77" spans="1:8" x14ac:dyDescent="0.3">
      <c r="A77" s="2" t="s">
        <v>62</v>
      </c>
      <c r="B77" s="2">
        <f t="shared" si="26"/>
        <v>12</v>
      </c>
      <c r="C77" s="2" t="s">
        <v>85</v>
      </c>
      <c r="D77" s="2" t="s">
        <v>86</v>
      </c>
      <c r="E77" s="2">
        <v>2</v>
      </c>
      <c r="F77" s="2" t="s">
        <v>13</v>
      </c>
      <c r="G77" s="2" t="s">
        <v>14</v>
      </c>
      <c r="H77" s="2">
        <v>25</v>
      </c>
    </row>
    <row r="78" spans="1:8" x14ac:dyDescent="0.3">
      <c r="A78" s="2" t="s">
        <v>62</v>
      </c>
      <c r="B78" s="2">
        <f t="shared" si="27"/>
        <v>13</v>
      </c>
      <c r="C78" s="2" t="s">
        <v>87</v>
      </c>
      <c r="D78" s="2" t="s">
        <v>88</v>
      </c>
      <c r="E78" s="2">
        <v>1</v>
      </c>
      <c r="F78" s="2" t="s">
        <v>11</v>
      </c>
      <c r="G78" s="2" t="s">
        <v>33</v>
      </c>
      <c r="H78" s="2">
        <v>31.356000000000002</v>
      </c>
    </row>
    <row r="79" spans="1:8" x14ac:dyDescent="0.3">
      <c r="A79" s="2" t="s">
        <v>62</v>
      </c>
      <c r="B79" s="2">
        <f t="shared" si="20"/>
        <v>13</v>
      </c>
      <c r="C79" s="2" t="s">
        <v>87</v>
      </c>
      <c r="D79" s="2" t="s">
        <v>88</v>
      </c>
      <c r="E79" s="2">
        <v>2</v>
      </c>
      <c r="F79" s="2" t="s">
        <v>13</v>
      </c>
      <c r="G79" s="2" t="s">
        <v>14</v>
      </c>
      <c r="H79" s="2">
        <v>25</v>
      </c>
    </row>
    <row r="80" spans="1:8" s="82" customFormat="1" x14ac:dyDescent="0.3">
      <c r="A80" s="56" t="s">
        <v>62</v>
      </c>
      <c r="B80" s="56">
        <f t="shared" si="21"/>
        <v>14</v>
      </c>
      <c r="C80" s="56" t="s">
        <v>447</v>
      </c>
      <c r="D80" s="56" t="s">
        <v>448</v>
      </c>
      <c r="E80" s="2">
        <v>1</v>
      </c>
      <c r="F80" s="2" t="s">
        <v>11</v>
      </c>
      <c r="G80" s="2" t="s">
        <v>33</v>
      </c>
      <c r="H80" s="2">
        <v>31.356000000000002</v>
      </c>
    </row>
    <row r="81" spans="1:8" s="82" customFormat="1" x14ac:dyDescent="0.3">
      <c r="A81" s="56" t="s">
        <v>62</v>
      </c>
      <c r="B81" s="56">
        <f t="shared" si="22"/>
        <v>14</v>
      </c>
      <c r="C81" s="56" t="s">
        <v>447</v>
      </c>
      <c r="D81" s="56" t="s">
        <v>448</v>
      </c>
      <c r="E81" s="2">
        <v>2</v>
      </c>
      <c r="F81" s="2" t="s">
        <v>13</v>
      </c>
      <c r="G81" s="2" t="s">
        <v>14</v>
      </c>
      <c r="H81" s="2">
        <v>25</v>
      </c>
    </row>
    <row r="82" spans="1:8" s="82" customFormat="1" x14ac:dyDescent="0.3">
      <c r="A82" s="56" t="s">
        <v>62</v>
      </c>
      <c r="B82" s="56">
        <f t="shared" ref="B82" si="32">B80+1</f>
        <v>15</v>
      </c>
      <c r="C82" s="56" t="s">
        <v>450</v>
      </c>
      <c r="D82" s="56" t="s">
        <v>451</v>
      </c>
      <c r="E82" s="2">
        <v>1</v>
      </c>
      <c r="F82" s="2" t="s">
        <v>11</v>
      </c>
      <c r="G82" s="2" t="s">
        <v>33</v>
      </c>
      <c r="H82" s="2">
        <v>31.356000000000002</v>
      </c>
    </row>
    <row r="83" spans="1:8" s="82" customFormat="1" x14ac:dyDescent="0.3">
      <c r="A83" s="56" t="s">
        <v>62</v>
      </c>
      <c r="B83" s="56">
        <f t="shared" ref="B83" si="33">B82</f>
        <v>15</v>
      </c>
      <c r="C83" s="56" t="s">
        <v>450</v>
      </c>
      <c r="D83" s="56" t="s">
        <v>451</v>
      </c>
      <c r="E83" s="2">
        <v>2</v>
      </c>
      <c r="F83" s="2" t="s">
        <v>13</v>
      </c>
      <c r="G83" s="2" t="s">
        <v>14</v>
      </c>
      <c r="H83" s="2">
        <v>25</v>
      </c>
    </row>
    <row r="84" spans="1:8" s="82" customFormat="1" x14ac:dyDescent="0.3">
      <c r="A84" s="56" t="s">
        <v>62</v>
      </c>
      <c r="B84" s="56">
        <f t="shared" ref="B84:B100" si="34">B82+1</f>
        <v>16</v>
      </c>
      <c r="C84" s="56" t="s">
        <v>452</v>
      </c>
      <c r="D84" s="56" t="s">
        <v>453</v>
      </c>
      <c r="E84" s="2">
        <v>1</v>
      </c>
      <c r="F84" s="2" t="s">
        <v>11</v>
      </c>
      <c r="G84" s="2" t="s">
        <v>33</v>
      </c>
      <c r="H84" s="2">
        <v>31.356000000000002</v>
      </c>
    </row>
    <row r="85" spans="1:8" s="82" customFormat="1" x14ac:dyDescent="0.3">
      <c r="A85" s="56" t="s">
        <v>62</v>
      </c>
      <c r="B85" s="56">
        <f t="shared" ref="B85:B101" si="35">B84</f>
        <v>16</v>
      </c>
      <c r="C85" s="56" t="s">
        <v>452</v>
      </c>
      <c r="D85" s="56" t="s">
        <v>453</v>
      </c>
      <c r="E85" s="2">
        <v>2</v>
      </c>
      <c r="F85" s="2" t="s">
        <v>13</v>
      </c>
      <c r="G85" s="2" t="s">
        <v>14</v>
      </c>
      <c r="H85" s="2">
        <v>25</v>
      </c>
    </row>
    <row r="86" spans="1:8" s="82" customFormat="1" x14ac:dyDescent="0.3">
      <c r="A86" s="56" t="s">
        <v>62</v>
      </c>
      <c r="B86" s="56">
        <f t="shared" ref="B86:B102" si="36">B84+1</f>
        <v>17</v>
      </c>
      <c r="C86" s="56" t="s">
        <v>454</v>
      </c>
      <c r="D86" s="56" t="s">
        <v>455</v>
      </c>
      <c r="E86" s="2">
        <v>1</v>
      </c>
      <c r="F86" s="2" t="s">
        <v>11</v>
      </c>
      <c r="G86" s="2" t="s">
        <v>33</v>
      </c>
      <c r="H86" s="2">
        <v>31.356000000000002</v>
      </c>
    </row>
    <row r="87" spans="1:8" s="82" customFormat="1" x14ac:dyDescent="0.3">
      <c r="A87" s="56" t="s">
        <v>62</v>
      </c>
      <c r="B87" s="56">
        <f t="shared" ref="B87:B103" si="37">B86</f>
        <v>17</v>
      </c>
      <c r="C87" s="56" t="s">
        <v>454</v>
      </c>
      <c r="D87" s="56" t="s">
        <v>455</v>
      </c>
      <c r="E87" s="2">
        <v>2</v>
      </c>
      <c r="F87" s="2" t="s">
        <v>13</v>
      </c>
      <c r="G87" s="2" t="s">
        <v>14</v>
      </c>
      <c r="H87" s="2">
        <v>25</v>
      </c>
    </row>
    <row r="88" spans="1:8" s="82" customFormat="1" x14ac:dyDescent="0.3">
      <c r="A88" s="56" t="s">
        <v>62</v>
      </c>
      <c r="B88" s="56">
        <f t="shared" ref="B88:B104" si="38">B86+1</f>
        <v>18</v>
      </c>
      <c r="C88" s="56" t="s">
        <v>456</v>
      </c>
      <c r="D88" s="56" t="s">
        <v>457</v>
      </c>
      <c r="E88" s="2">
        <v>1</v>
      </c>
      <c r="F88" s="2" t="s">
        <v>11</v>
      </c>
      <c r="G88" s="2" t="s">
        <v>33</v>
      </c>
      <c r="H88" s="2">
        <v>31.356000000000002</v>
      </c>
    </row>
    <row r="89" spans="1:8" s="82" customFormat="1" x14ac:dyDescent="0.3">
      <c r="A89" s="56" t="s">
        <v>62</v>
      </c>
      <c r="B89" s="56">
        <f t="shared" ref="B89:B105" si="39">B88</f>
        <v>18</v>
      </c>
      <c r="C89" s="56" t="s">
        <v>456</v>
      </c>
      <c r="D89" s="56" t="s">
        <v>457</v>
      </c>
      <c r="E89" s="2">
        <v>2</v>
      </c>
      <c r="F89" s="2" t="s">
        <v>13</v>
      </c>
      <c r="G89" s="2" t="s">
        <v>14</v>
      </c>
      <c r="H89" s="2">
        <v>25</v>
      </c>
    </row>
    <row r="90" spans="1:8" s="82" customFormat="1" x14ac:dyDescent="0.3">
      <c r="A90" s="56" t="s">
        <v>62</v>
      </c>
      <c r="B90" s="56">
        <f t="shared" ref="B90" si="40">B88+1</f>
        <v>19</v>
      </c>
      <c r="C90" s="56" t="s">
        <v>458</v>
      </c>
      <c r="D90" s="56" t="s">
        <v>459</v>
      </c>
      <c r="E90" s="2">
        <v>1</v>
      </c>
      <c r="F90" s="2" t="s">
        <v>11</v>
      </c>
      <c r="G90" s="2" t="s">
        <v>33</v>
      </c>
      <c r="H90" s="2">
        <v>31.356000000000002</v>
      </c>
    </row>
    <row r="91" spans="1:8" s="82" customFormat="1" x14ac:dyDescent="0.3">
      <c r="A91" s="56" t="s">
        <v>62</v>
      </c>
      <c r="B91" s="56">
        <f t="shared" ref="B91" si="41">B90</f>
        <v>19</v>
      </c>
      <c r="C91" s="56" t="s">
        <v>458</v>
      </c>
      <c r="D91" s="56" t="s">
        <v>459</v>
      </c>
      <c r="E91" s="2">
        <v>2</v>
      </c>
      <c r="F91" s="2" t="s">
        <v>13</v>
      </c>
      <c r="G91" s="2" t="s">
        <v>14</v>
      </c>
      <c r="H91" s="2">
        <v>25</v>
      </c>
    </row>
    <row r="92" spans="1:8" s="82" customFormat="1" x14ac:dyDescent="0.3">
      <c r="A92" s="56" t="s">
        <v>62</v>
      </c>
      <c r="B92" s="56">
        <f t="shared" si="34"/>
        <v>20</v>
      </c>
      <c r="C92" s="56" t="s">
        <v>460</v>
      </c>
      <c r="D92" s="56" t="s">
        <v>461</v>
      </c>
      <c r="E92" s="2">
        <v>1</v>
      </c>
      <c r="F92" s="2" t="s">
        <v>11</v>
      </c>
      <c r="G92" s="2" t="s">
        <v>33</v>
      </c>
      <c r="H92" s="2">
        <v>31.356000000000002</v>
      </c>
    </row>
    <row r="93" spans="1:8" s="82" customFormat="1" x14ac:dyDescent="0.3">
      <c r="A93" s="56" t="s">
        <v>62</v>
      </c>
      <c r="B93" s="56">
        <f t="shared" si="35"/>
        <v>20</v>
      </c>
      <c r="C93" s="56" t="s">
        <v>460</v>
      </c>
      <c r="D93" s="56" t="s">
        <v>461</v>
      </c>
      <c r="E93" s="2">
        <v>2</v>
      </c>
      <c r="F93" s="2" t="s">
        <v>13</v>
      </c>
      <c r="G93" s="2" t="s">
        <v>14</v>
      </c>
      <c r="H93" s="2">
        <v>25</v>
      </c>
    </row>
    <row r="94" spans="1:8" s="82" customFormat="1" x14ac:dyDescent="0.3">
      <c r="A94" s="56" t="s">
        <v>62</v>
      </c>
      <c r="B94" s="56">
        <f t="shared" si="36"/>
        <v>21</v>
      </c>
      <c r="C94" s="56" t="s">
        <v>462</v>
      </c>
      <c r="D94" s="56" t="s">
        <v>463</v>
      </c>
      <c r="E94" s="2">
        <v>1</v>
      </c>
      <c r="F94" s="2" t="s">
        <v>11</v>
      </c>
      <c r="G94" s="2" t="s">
        <v>33</v>
      </c>
      <c r="H94" s="2">
        <v>31.356000000000002</v>
      </c>
    </row>
    <row r="95" spans="1:8" s="82" customFormat="1" x14ac:dyDescent="0.3">
      <c r="A95" s="56" t="s">
        <v>62</v>
      </c>
      <c r="B95" s="56">
        <f t="shared" si="37"/>
        <v>21</v>
      </c>
      <c r="C95" s="56" t="s">
        <v>462</v>
      </c>
      <c r="D95" s="56" t="s">
        <v>463</v>
      </c>
      <c r="E95" s="2">
        <v>2</v>
      </c>
      <c r="F95" s="2" t="s">
        <v>13</v>
      </c>
      <c r="G95" s="2" t="s">
        <v>14</v>
      </c>
      <c r="H95" s="2">
        <v>25</v>
      </c>
    </row>
    <row r="96" spans="1:8" s="82" customFormat="1" x14ac:dyDescent="0.3">
      <c r="A96" s="56" t="s">
        <v>62</v>
      </c>
      <c r="B96" s="56">
        <f t="shared" si="38"/>
        <v>22</v>
      </c>
      <c r="C96" s="56" t="s">
        <v>464</v>
      </c>
      <c r="D96" s="56" t="s">
        <v>465</v>
      </c>
      <c r="E96" s="2">
        <v>1</v>
      </c>
      <c r="F96" s="2" t="s">
        <v>11</v>
      </c>
      <c r="G96" s="2" t="s">
        <v>33</v>
      </c>
      <c r="H96" s="2">
        <v>31.356000000000002</v>
      </c>
    </row>
    <row r="97" spans="1:9" s="82" customFormat="1" x14ac:dyDescent="0.3">
      <c r="A97" s="56" t="s">
        <v>62</v>
      </c>
      <c r="B97" s="56">
        <f t="shared" si="39"/>
        <v>22</v>
      </c>
      <c r="C97" s="56" t="s">
        <v>464</v>
      </c>
      <c r="D97" s="56" t="s">
        <v>465</v>
      </c>
      <c r="E97" s="2">
        <v>2</v>
      </c>
      <c r="F97" s="2" t="s">
        <v>13</v>
      </c>
      <c r="G97" s="2" t="s">
        <v>14</v>
      </c>
      <c r="H97" s="2">
        <v>25</v>
      </c>
    </row>
    <row r="98" spans="1:9" s="82" customFormat="1" x14ac:dyDescent="0.3">
      <c r="A98" s="56" t="s">
        <v>62</v>
      </c>
      <c r="B98" s="56">
        <f t="shared" ref="B98" si="42">B96+1</f>
        <v>23</v>
      </c>
      <c r="C98" s="56" t="s">
        <v>468</v>
      </c>
      <c r="D98" s="56" t="s">
        <v>469</v>
      </c>
      <c r="E98" s="2">
        <v>1</v>
      </c>
      <c r="F98" s="2" t="s">
        <v>11</v>
      </c>
      <c r="G98" s="2" t="s">
        <v>33</v>
      </c>
      <c r="H98" s="2">
        <v>31.356000000000002</v>
      </c>
    </row>
    <row r="99" spans="1:9" s="82" customFormat="1" x14ac:dyDescent="0.3">
      <c r="A99" s="56" t="s">
        <v>62</v>
      </c>
      <c r="B99" s="56">
        <f t="shared" ref="B99" si="43">B98</f>
        <v>23</v>
      </c>
      <c r="C99" s="56" t="s">
        <v>468</v>
      </c>
      <c r="D99" s="56" t="s">
        <v>469</v>
      </c>
      <c r="E99" s="2">
        <v>2</v>
      </c>
      <c r="F99" s="2" t="s">
        <v>13</v>
      </c>
      <c r="G99" s="2" t="s">
        <v>14</v>
      </c>
      <c r="H99" s="2">
        <v>25</v>
      </c>
    </row>
    <row r="100" spans="1:9" x14ac:dyDescent="0.3">
      <c r="A100" s="2" t="s">
        <v>62</v>
      </c>
      <c r="B100" s="2">
        <f t="shared" si="34"/>
        <v>24</v>
      </c>
      <c r="C100" s="2" t="s">
        <v>89</v>
      </c>
      <c r="D100" s="2" t="s">
        <v>90</v>
      </c>
      <c r="E100" s="2">
        <v>1</v>
      </c>
      <c r="F100" s="2" t="s">
        <v>11</v>
      </c>
      <c r="G100" s="2" t="s">
        <v>12</v>
      </c>
      <c r="H100" s="56">
        <v>1</v>
      </c>
    </row>
    <row r="101" spans="1:9" x14ac:dyDescent="0.3">
      <c r="A101" s="2" t="s">
        <v>62</v>
      </c>
      <c r="B101" s="2">
        <f t="shared" si="35"/>
        <v>24</v>
      </c>
      <c r="C101" s="2" t="s">
        <v>89</v>
      </c>
      <c r="D101" s="2" t="s">
        <v>90</v>
      </c>
      <c r="E101" s="2">
        <v>2</v>
      </c>
      <c r="F101" s="2" t="s">
        <v>13</v>
      </c>
      <c r="G101" s="2" t="s">
        <v>14</v>
      </c>
      <c r="H101" s="56">
        <v>30</v>
      </c>
      <c r="I101" t="s">
        <v>91</v>
      </c>
    </row>
    <row r="102" spans="1:9" x14ac:dyDescent="0.3">
      <c r="A102" s="2" t="s">
        <v>62</v>
      </c>
      <c r="B102" s="2">
        <f t="shared" si="36"/>
        <v>25</v>
      </c>
      <c r="C102" s="2" t="s">
        <v>92</v>
      </c>
      <c r="D102" s="2" t="s">
        <v>93</v>
      </c>
      <c r="E102" s="2">
        <v>1</v>
      </c>
      <c r="F102" s="2" t="s">
        <v>11</v>
      </c>
      <c r="G102" s="2" t="s">
        <v>33</v>
      </c>
      <c r="H102" s="56">
        <v>1</v>
      </c>
    </row>
    <row r="103" spans="1:9" x14ac:dyDescent="0.3">
      <c r="A103" s="2" t="s">
        <v>62</v>
      </c>
      <c r="B103" s="2">
        <f t="shared" si="37"/>
        <v>25</v>
      </c>
      <c r="C103" s="2" t="s">
        <v>92</v>
      </c>
      <c r="D103" s="2" t="s">
        <v>93</v>
      </c>
      <c r="E103" s="2">
        <v>2</v>
      </c>
      <c r="F103" s="2" t="s">
        <v>13</v>
      </c>
      <c r="G103" s="2" t="s">
        <v>14</v>
      </c>
      <c r="H103" s="56">
        <v>10</v>
      </c>
    </row>
    <row r="104" spans="1:9" x14ac:dyDescent="0.3">
      <c r="A104" s="2" t="s">
        <v>62</v>
      </c>
      <c r="B104" s="2">
        <f t="shared" si="38"/>
        <v>26</v>
      </c>
      <c r="C104" s="2" t="s">
        <v>94</v>
      </c>
      <c r="D104" s="2" t="s">
        <v>95</v>
      </c>
      <c r="E104" s="2">
        <v>1</v>
      </c>
      <c r="F104" s="2" t="s">
        <v>11</v>
      </c>
      <c r="G104" s="2" t="s">
        <v>33</v>
      </c>
      <c r="H104" s="56">
        <v>1</v>
      </c>
    </row>
    <row r="105" spans="1:9" x14ac:dyDescent="0.3">
      <c r="A105" s="2" t="s">
        <v>62</v>
      </c>
      <c r="B105" s="2">
        <f t="shared" si="39"/>
        <v>26</v>
      </c>
      <c r="C105" s="2" t="s">
        <v>94</v>
      </c>
      <c r="D105" s="2" t="s">
        <v>95</v>
      </c>
      <c r="E105" s="2">
        <v>2</v>
      </c>
      <c r="F105" s="2" t="s">
        <v>13</v>
      </c>
      <c r="G105" s="2" t="s">
        <v>14</v>
      </c>
      <c r="H105" s="56">
        <v>30</v>
      </c>
    </row>
    <row r="106" spans="1:9" x14ac:dyDescent="0.3">
      <c r="A106" s="2" t="s">
        <v>62</v>
      </c>
      <c r="B106" s="2">
        <f t="shared" ref="B106" si="44">B104+1</f>
        <v>27</v>
      </c>
      <c r="C106" s="2" t="s">
        <v>96</v>
      </c>
      <c r="D106" s="2" t="s">
        <v>97</v>
      </c>
      <c r="E106" s="2">
        <v>1</v>
      </c>
      <c r="F106" s="2" t="s">
        <v>11</v>
      </c>
      <c r="G106" s="2" t="s">
        <v>33</v>
      </c>
      <c r="H106" s="56">
        <v>10</v>
      </c>
    </row>
    <row r="107" spans="1:9" x14ac:dyDescent="0.3">
      <c r="A107" s="2" t="s">
        <v>62</v>
      </c>
      <c r="B107" s="2">
        <f t="shared" ref="B107" si="45">B106</f>
        <v>27</v>
      </c>
      <c r="C107" s="2" t="s">
        <v>96</v>
      </c>
      <c r="D107" s="2" t="s">
        <v>97</v>
      </c>
      <c r="E107" s="2">
        <v>2</v>
      </c>
      <c r="F107" s="2" t="s">
        <v>13</v>
      </c>
      <c r="G107" s="2" t="s">
        <v>14</v>
      </c>
      <c r="H107" s="56">
        <v>1</v>
      </c>
    </row>
    <row r="108" spans="1:9" x14ac:dyDescent="0.3">
      <c r="A108" s="2" t="s">
        <v>98</v>
      </c>
      <c r="B108" s="2">
        <v>1</v>
      </c>
      <c r="C108" s="2" t="s">
        <v>99</v>
      </c>
      <c r="D108" s="2" t="s">
        <v>100</v>
      </c>
      <c r="E108" s="2">
        <v>1</v>
      </c>
      <c r="F108" s="2" t="s">
        <v>11</v>
      </c>
      <c r="G108" s="2"/>
      <c r="H108" s="2"/>
    </row>
    <row r="109" spans="1:9" x14ac:dyDescent="0.3">
      <c r="A109" s="2" t="s">
        <v>98</v>
      </c>
      <c r="B109" s="2">
        <f t="shared" ref="B109:B127" si="46">B108</f>
        <v>1</v>
      </c>
      <c r="C109" s="2" t="s">
        <v>99</v>
      </c>
      <c r="D109" s="2" t="s">
        <v>100</v>
      </c>
      <c r="E109" s="2">
        <v>2</v>
      </c>
      <c r="F109" s="2" t="s">
        <v>13</v>
      </c>
      <c r="G109" s="2"/>
      <c r="H109" s="2"/>
    </row>
    <row r="110" spans="1:9" x14ac:dyDescent="0.3">
      <c r="A110" s="2" t="s">
        <v>98</v>
      </c>
      <c r="B110" s="2">
        <f t="shared" ref="B110:B128" si="47">B108+1</f>
        <v>2</v>
      </c>
      <c r="C110" s="2" t="s">
        <v>101</v>
      </c>
      <c r="D110" s="2" t="s">
        <v>102</v>
      </c>
      <c r="E110" s="2">
        <v>1</v>
      </c>
      <c r="F110" s="2" t="s">
        <v>11</v>
      </c>
      <c r="G110" s="2"/>
      <c r="H110" s="2"/>
    </row>
    <row r="111" spans="1:9" x14ac:dyDescent="0.3">
      <c r="A111" s="2" t="s">
        <v>98</v>
      </c>
      <c r="B111" s="2">
        <f t="shared" ref="B111:B129" si="48">B110</f>
        <v>2</v>
      </c>
      <c r="C111" s="2" t="s">
        <v>101</v>
      </c>
      <c r="D111" s="2" t="s">
        <v>102</v>
      </c>
      <c r="E111" s="2">
        <v>2</v>
      </c>
      <c r="F111" s="2" t="s">
        <v>13</v>
      </c>
      <c r="G111" s="2"/>
      <c r="H111" s="2"/>
    </row>
    <row r="112" spans="1:9" x14ac:dyDescent="0.3">
      <c r="A112" s="2" t="s">
        <v>98</v>
      </c>
      <c r="B112" s="2">
        <f t="shared" ref="B112" si="49">B110+1</f>
        <v>3</v>
      </c>
      <c r="C112" s="2" t="s">
        <v>103</v>
      </c>
      <c r="D112" s="2" t="s">
        <v>104</v>
      </c>
      <c r="E112" s="2">
        <v>1</v>
      </c>
      <c r="F112" s="2" t="s">
        <v>11</v>
      </c>
      <c r="G112" s="2"/>
      <c r="H112" s="2"/>
    </row>
    <row r="113" spans="1:8" x14ac:dyDescent="0.3">
      <c r="A113" s="2" t="s">
        <v>98</v>
      </c>
      <c r="B113" s="2">
        <f t="shared" ref="B113" si="50">B112</f>
        <v>3</v>
      </c>
      <c r="C113" s="2" t="s">
        <v>103</v>
      </c>
      <c r="D113" s="2" t="s">
        <v>104</v>
      </c>
      <c r="E113" s="2">
        <v>2</v>
      </c>
      <c r="F113" s="2" t="s">
        <v>13</v>
      </c>
      <c r="G113" s="2"/>
      <c r="H113" s="2"/>
    </row>
    <row r="114" spans="1:8" x14ac:dyDescent="0.3">
      <c r="A114" s="2" t="s">
        <v>98</v>
      </c>
      <c r="B114" s="2">
        <f t="shared" ref="B114:B124" si="51">B112+1</f>
        <v>4</v>
      </c>
      <c r="C114" s="2" t="s">
        <v>105</v>
      </c>
      <c r="D114" s="2" t="s">
        <v>106</v>
      </c>
      <c r="E114" s="2">
        <v>1</v>
      </c>
      <c r="F114" s="2" t="s">
        <v>11</v>
      </c>
      <c r="G114" s="2"/>
      <c r="H114" s="2"/>
    </row>
    <row r="115" spans="1:8" x14ac:dyDescent="0.3">
      <c r="A115" s="2" t="s">
        <v>98</v>
      </c>
      <c r="B115" s="2">
        <f t="shared" ref="B115:B125" si="52">B114</f>
        <v>4</v>
      </c>
      <c r="C115" s="2" t="s">
        <v>105</v>
      </c>
      <c r="D115" s="2" t="s">
        <v>106</v>
      </c>
      <c r="E115" s="2">
        <v>2</v>
      </c>
      <c r="F115" s="2" t="s">
        <v>13</v>
      </c>
      <c r="G115" s="2"/>
      <c r="H115" s="2"/>
    </row>
    <row r="116" spans="1:8" x14ac:dyDescent="0.3">
      <c r="A116" s="2" t="s">
        <v>98</v>
      </c>
      <c r="B116" s="2">
        <f t="shared" ref="B116:B126" si="53">B114+1</f>
        <v>5</v>
      </c>
      <c r="C116" s="2" t="s">
        <v>107</v>
      </c>
      <c r="D116" s="2" t="s">
        <v>108</v>
      </c>
      <c r="E116" s="2">
        <v>1</v>
      </c>
      <c r="F116" s="2" t="s">
        <v>11</v>
      </c>
      <c r="G116" s="2"/>
      <c r="H116" s="2"/>
    </row>
    <row r="117" spans="1:8" x14ac:dyDescent="0.3">
      <c r="A117" s="2" t="s">
        <v>98</v>
      </c>
      <c r="B117" s="2">
        <f t="shared" si="46"/>
        <v>5</v>
      </c>
      <c r="C117" s="2" t="s">
        <v>107</v>
      </c>
      <c r="D117" s="2" t="s">
        <v>108</v>
      </c>
      <c r="E117" s="2">
        <v>2</v>
      </c>
      <c r="F117" s="2" t="s">
        <v>13</v>
      </c>
      <c r="G117" s="2"/>
      <c r="H117" s="2"/>
    </row>
    <row r="118" spans="1:8" x14ac:dyDescent="0.3">
      <c r="A118" s="2" t="s">
        <v>98</v>
      </c>
      <c r="B118" s="2">
        <f t="shared" si="47"/>
        <v>6</v>
      </c>
      <c r="C118" s="2" t="s">
        <v>109</v>
      </c>
      <c r="D118" s="2" t="s">
        <v>110</v>
      </c>
      <c r="E118" s="2">
        <v>1</v>
      </c>
      <c r="F118" s="2" t="s">
        <v>11</v>
      </c>
      <c r="G118" s="2"/>
      <c r="H118" s="2"/>
    </row>
    <row r="119" spans="1:8" x14ac:dyDescent="0.3">
      <c r="A119" s="2" t="s">
        <v>98</v>
      </c>
      <c r="B119" s="2">
        <f t="shared" si="48"/>
        <v>6</v>
      </c>
      <c r="C119" s="2" t="s">
        <v>109</v>
      </c>
      <c r="D119" s="2" t="s">
        <v>110</v>
      </c>
      <c r="E119" s="2">
        <v>2</v>
      </c>
      <c r="F119" s="2" t="s">
        <v>13</v>
      </c>
      <c r="G119" s="2"/>
      <c r="H119" s="2"/>
    </row>
    <row r="120" spans="1:8" x14ac:dyDescent="0.3">
      <c r="A120" s="2" t="s">
        <v>98</v>
      </c>
      <c r="B120" s="2">
        <v>7</v>
      </c>
      <c r="C120" s="2" t="s">
        <v>483</v>
      </c>
      <c r="D120" s="2" t="s">
        <v>484</v>
      </c>
      <c r="E120" s="2">
        <v>1</v>
      </c>
      <c r="F120" s="2" t="s">
        <v>11</v>
      </c>
      <c r="G120" s="2"/>
      <c r="H120" s="2"/>
    </row>
    <row r="121" spans="1:8" x14ac:dyDescent="0.3">
      <c r="A121" s="2" t="s">
        <v>98</v>
      </c>
      <c r="B121" s="2">
        <v>7</v>
      </c>
      <c r="C121" s="2" t="s">
        <v>483</v>
      </c>
      <c r="D121" s="2" t="s">
        <v>484</v>
      </c>
      <c r="E121" s="2">
        <v>2</v>
      </c>
      <c r="F121" s="2" t="s">
        <v>13</v>
      </c>
      <c r="G121" s="2"/>
      <c r="H121" s="2"/>
    </row>
    <row r="122" spans="1:8" x14ac:dyDescent="0.3">
      <c r="A122" s="2" t="s">
        <v>98</v>
      </c>
      <c r="B122" s="2">
        <v>8</v>
      </c>
      <c r="C122" s="2" t="s">
        <v>111</v>
      </c>
      <c r="D122" s="2" t="s">
        <v>112</v>
      </c>
      <c r="E122" s="2">
        <v>1</v>
      </c>
      <c r="F122" s="2" t="s">
        <v>11</v>
      </c>
      <c r="G122" s="2"/>
      <c r="H122" s="2"/>
    </row>
    <row r="123" spans="1:8" x14ac:dyDescent="0.3">
      <c r="A123" s="2" t="s">
        <v>98</v>
      </c>
      <c r="B123" s="2">
        <f t="shared" ref="B123" si="54">B122</f>
        <v>8</v>
      </c>
      <c r="C123" s="2" t="s">
        <v>111</v>
      </c>
      <c r="D123" s="2" t="s">
        <v>112</v>
      </c>
      <c r="E123" s="2">
        <v>2</v>
      </c>
      <c r="F123" s="2" t="s">
        <v>13</v>
      </c>
      <c r="G123" s="2"/>
      <c r="H123" s="2"/>
    </row>
    <row r="124" spans="1:8" x14ac:dyDescent="0.3">
      <c r="A124" s="2" t="s">
        <v>98</v>
      </c>
      <c r="B124" s="2">
        <f t="shared" si="51"/>
        <v>9</v>
      </c>
      <c r="C124" s="2" t="s">
        <v>113</v>
      </c>
      <c r="D124" s="2" t="s">
        <v>114</v>
      </c>
      <c r="E124" s="2">
        <v>1</v>
      </c>
      <c r="F124" s="2" t="s">
        <v>11</v>
      </c>
      <c r="G124" s="2"/>
      <c r="H124" s="2"/>
    </row>
    <row r="125" spans="1:8" x14ac:dyDescent="0.3">
      <c r="A125" s="2" t="s">
        <v>98</v>
      </c>
      <c r="B125" s="2">
        <f t="shared" si="52"/>
        <v>9</v>
      </c>
      <c r="C125" s="2" t="s">
        <v>113</v>
      </c>
      <c r="D125" s="2" t="s">
        <v>114</v>
      </c>
      <c r="E125" s="2">
        <v>2</v>
      </c>
      <c r="F125" s="2" t="s">
        <v>13</v>
      </c>
      <c r="G125" s="2"/>
      <c r="H125" s="2"/>
    </row>
    <row r="126" spans="1:8" x14ac:dyDescent="0.3">
      <c r="A126" s="2" t="s">
        <v>98</v>
      </c>
      <c r="B126" s="2">
        <f t="shared" si="53"/>
        <v>10</v>
      </c>
      <c r="C126" s="2" t="s">
        <v>115</v>
      </c>
      <c r="D126" s="2" t="s">
        <v>116</v>
      </c>
      <c r="E126" s="2">
        <v>1</v>
      </c>
      <c r="F126" s="2" t="s">
        <v>11</v>
      </c>
      <c r="G126" s="2"/>
      <c r="H126" s="2"/>
    </row>
    <row r="127" spans="1:8" x14ac:dyDescent="0.3">
      <c r="A127" s="2" t="s">
        <v>98</v>
      </c>
      <c r="B127" s="2">
        <f t="shared" si="46"/>
        <v>10</v>
      </c>
      <c r="C127" s="2" t="s">
        <v>115</v>
      </c>
      <c r="D127" s="2" t="s">
        <v>116</v>
      </c>
      <c r="E127" s="2">
        <v>2</v>
      </c>
      <c r="F127" s="2" t="s">
        <v>13</v>
      </c>
      <c r="G127" s="2"/>
      <c r="H127" s="2"/>
    </row>
    <row r="128" spans="1:8" x14ac:dyDescent="0.3">
      <c r="A128" s="2" t="s">
        <v>98</v>
      </c>
      <c r="B128" s="2">
        <f t="shared" si="47"/>
        <v>11</v>
      </c>
      <c r="C128" s="2" t="s">
        <v>117</v>
      </c>
      <c r="D128" s="2" t="s">
        <v>118</v>
      </c>
      <c r="E128" s="2">
        <v>1</v>
      </c>
      <c r="F128" s="2" t="s">
        <v>11</v>
      </c>
      <c r="G128" s="2"/>
      <c r="H128" s="2"/>
    </row>
    <row r="129" spans="1:8" x14ac:dyDescent="0.3">
      <c r="A129" s="2" t="s">
        <v>98</v>
      </c>
      <c r="B129" s="2">
        <f t="shared" si="48"/>
        <v>11</v>
      </c>
      <c r="C129" s="2" t="s">
        <v>117</v>
      </c>
      <c r="D129" s="2" t="s">
        <v>118</v>
      </c>
      <c r="E129" s="2">
        <v>2</v>
      </c>
      <c r="F129" s="2" t="s">
        <v>13</v>
      </c>
      <c r="G129" s="2"/>
      <c r="H129" s="2"/>
    </row>
    <row r="130" spans="1:8" x14ac:dyDescent="0.3">
      <c r="A130" s="2" t="s">
        <v>98</v>
      </c>
      <c r="B130" s="2">
        <f t="shared" ref="B130" si="55">B128+1</f>
        <v>12</v>
      </c>
      <c r="C130" s="2" t="s">
        <v>119</v>
      </c>
      <c r="D130" s="2" t="s">
        <v>120</v>
      </c>
      <c r="E130" s="2">
        <v>1</v>
      </c>
      <c r="F130" s="2" t="s">
        <v>11</v>
      </c>
      <c r="G130" s="2"/>
      <c r="H130" s="2"/>
    </row>
    <row r="131" spans="1:8" x14ac:dyDescent="0.3">
      <c r="A131" s="2" t="s">
        <v>98</v>
      </c>
      <c r="B131" s="2">
        <f t="shared" ref="B131" si="56">B130</f>
        <v>12</v>
      </c>
      <c r="C131" s="2" t="s">
        <v>119</v>
      </c>
      <c r="D131" s="2" t="s">
        <v>120</v>
      </c>
      <c r="E131" s="2">
        <v>2</v>
      </c>
      <c r="F131" s="2" t="s">
        <v>13</v>
      </c>
      <c r="G131" s="2"/>
      <c r="H131" s="2"/>
    </row>
    <row r="132" spans="1:8" x14ac:dyDescent="0.3">
      <c r="A132" s="2" t="s">
        <v>98</v>
      </c>
      <c r="B132" s="2">
        <f t="shared" ref="B132:B172" si="57">B130+1</f>
        <v>13</v>
      </c>
      <c r="C132" s="2" t="s">
        <v>121</v>
      </c>
      <c r="D132" s="2" t="s">
        <v>122</v>
      </c>
      <c r="E132" s="2">
        <v>1</v>
      </c>
      <c r="F132" s="2" t="s">
        <v>11</v>
      </c>
      <c r="G132" s="2"/>
      <c r="H132" s="2"/>
    </row>
    <row r="133" spans="1:8" x14ac:dyDescent="0.3">
      <c r="A133" s="2" t="s">
        <v>98</v>
      </c>
      <c r="B133" s="2">
        <f t="shared" ref="B133:B173" si="58">B132</f>
        <v>13</v>
      </c>
      <c r="C133" s="2" t="s">
        <v>121</v>
      </c>
      <c r="D133" s="2" t="s">
        <v>122</v>
      </c>
      <c r="E133" s="2">
        <v>2</v>
      </c>
      <c r="F133" s="2" t="s">
        <v>13</v>
      </c>
      <c r="G133" s="2"/>
      <c r="H133" s="2"/>
    </row>
    <row r="134" spans="1:8" x14ac:dyDescent="0.3">
      <c r="A134" s="2" t="s">
        <v>98</v>
      </c>
      <c r="B134" s="2">
        <f t="shared" ref="B134:B174" si="59">B132+1</f>
        <v>14</v>
      </c>
      <c r="C134" s="2" t="s">
        <v>123</v>
      </c>
      <c r="D134" s="2" t="s">
        <v>124</v>
      </c>
      <c r="E134" s="2">
        <v>1</v>
      </c>
      <c r="F134" s="2" t="s">
        <v>11</v>
      </c>
      <c r="G134" s="2"/>
      <c r="H134" s="2"/>
    </row>
    <row r="135" spans="1:8" x14ac:dyDescent="0.3">
      <c r="A135" s="2" t="s">
        <v>98</v>
      </c>
      <c r="B135" s="2">
        <f t="shared" ref="B135:B175" si="60">B134</f>
        <v>14</v>
      </c>
      <c r="C135" s="2" t="s">
        <v>123</v>
      </c>
      <c r="D135" s="2" t="s">
        <v>124</v>
      </c>
      <c r="E135" s="2">
        <v>2</v>
      </c>
      <c r="F135" s="2" t="s">
        <v>13</v>
      </c>
      <c r="G135" s="2"/>
      <c r="H135" s="2"/>
    </row>
    <row r="136" spans="1:8" x14ac:dyDescent="0.3">
      <c r="A136" s="2" t="s">
        <v>98</v>
      </c>
      <c r="B136" s="2">
        <f t="shared" ref="B136:B168" si="61">B134+1</f>
        <v>15</v>
      </c>
      <c r="C136" s="2" t="s">
        <v>125</v>
      </c>
      <c r="D136" s="2" t="s">
        <v>126</v>
      </c>
      <c r="E136" s="2">
        <v>1</v>
      </c>
      <c r="F136" s="2" t="s">
        <v>11</v>
      </c>
      <c r="G136" s="2"/>
      <c r="H136" s="2"/>
    </row>
    <row r="137" spans="1:8" x14ac:dyDescent="0.3">
      <c r="A137" s="2" t="s">
        <v>98</v>
      </c>
      <c r="B137" s="2">
        <f t="shared" ref="B137:B169" si="62">B136</f>
        <v>15</v>
      </c>
      <c r="C137" s="2" t="s">
        <v>125</v>
      </c>
      <c r="D137" s="2" t="s">
        <v>126</v>
      </c>
      <c r="E137" s="2">
        <v>2</v>
      </c>
      <c r="F137" s="2" t="s">
        <v>13</v>
      </c>
      <c r="G137" s="2"/>
      <c r="H137" s="2"/>
    </row>
    <row r="138" spans="1:8" x14ac:dyDescent="0.3">
      <c r="A138" s="2" t="s">
        <v>98</v>
      </c>
      <c r="B138" s="2">
        <f t="shared" ref="B138" si="63">B136+1</f>
        <v>16</v>
      </c>
      <c r="C138" s="2" t="s">
        <v>127</v>
      </c>
      <c r="D138" s="2" t="s">
        <v>128</v>
      </c>
      <c r="E138" s="2">
        <v>1</v>
      </c>
      <c r="F138" s="2" t="s">
        <v>11</v>
      </c>
      <c r="G138" s="2"/>
      <c r="H138" s="2"/>
    </row>
    <row r="139" spans="1:8" x14ac:dyDescent="0.3">
      <c r="A139" s="2" t="s">
        <v>98</v>
      </c>
      <c r="B139" s="2">
        <f t="shared" ref="B139" si="64">B138</f>
        <v>16</v>
      </c>
      <c r="C139" s="2" t="s">
        <v>127</v>
      </c>
      <c r="D139" s="2" t="s">
        <v>128</v>
      </c>
      <c r="E139" s="2">
        <v>2</v>
      </c>
      <c r="F139" s="2" t="s">
        <v>13</v>
      </c>
      <c r="G139" s="2"/>
      <c r="H139" s="2"/>
    </row>
    <row r="140" spans="1:8" x14ac:dyDescent="0.3">
      <c r="A140" s="2" t="s">
        <v>98</v>
      </c>
      <c r="B140" s="2">
        <f t="shared" si="57"/>
        <v>17</v>
      </c>
      <c r="C140" s="2" t="s">
        <v>129</v>
      </c>
      <c r="D140" s="2" t="s">
        <v>130</v>
      </c>
      <c r="E140" s="2">
        <v>1</v>
      </c>
      <c r="F140" s="2" t="s">
        <v>11</v>
      </c>
      <c r="G140" s="2"/>
      <c r="H140" s="2"/>
    </row>
    <row r="141" spans="1:8" x14ac:dyDescent="0.3">
      <c r="A141" s="2" t="s">
        <v>98</v>
      </c>
      <c r="B141" s="2">
        <f t="shared" si="58"/>
        <v>17</v>
      </c>
      <c r="C141" s="2" t="s">
        <v>129</v>
      </c>
      <c r="D141" s="2" t="s">
        <v>130</v>
      </c>
      <c r="E141" s="2">
        <v>2</v>
      </c>
      <c r="F141" s="2" t="s">
        <v>13</v>
      </c>
      <c r="G141" s="2"/>
      <c r="H141" s="2"/>
    </row>
    <row r="142" spans="1:8" x14ac:dyDescent="0.3">
      <c r="A142" s="2" t="s">
        <v>98</v>
      </c>
      <c r="B142" s="2">
        <f t="shared" si="59"/>
        <v>18</v>
      </c>
      <c r="C142" s="2" t="s">
        <v>131</v>
      </c>
      <c r="D142" s="2" t="s">
        <v>132</v>
      </c>
      <c r="E142" s="2">
        <v>1</v>
      </c>
      <c r="F142" s="2" t="s">
        <v>11</v>
      </c>
      <c r="G142" s="2"/>
      <c r="H142" s="2"/>
    </row>
    <row r="143" spans="1:8" x14ac:dyDescent="0.3">
      <c r="A143" s="2" t="s">
        <v>98</v>
      </c>
      <c r="B143" s="2">
        <f t="shared" si="60"/>
        <v>18</v>
      </c>
      <c r="C143" s="2" t="s">
        <v>131</v>
      </c>
      <c r="D143" s="2" t="s">
        <v>132</v>
      </c>
      <c r="E143" s="2">
        <v>2</v>
      </c>
      <c r="F143" s="2" t="s">
        <v>13</v>
      </c>
      <c r="G143" s="2"/>
      <c r="H143" s="2"/>
    </row>
    <row r="144" spans="1:8" x14ac:dyDescent="0.3">
      <c r="A144" s="2" t="s">
        <v>98</v>
      </c>
      <c r="B144" s="2">
        <f t="shared" si="61"/>
        <v>19</v>
      </c>
      <c r="C144" s="2" t="s">
        <v>133</v>
      </c>
      <c r="D144" s="2" t="s">
        <v>134</v>
      </c>
      <c r="E144" s="2">
        <v>1</v>
      </c>
      <c r="F144" s="2" t="s">
        <v>11</v>
      </c>
      <c r="G144" s="2"/>
      <c r="H144" s="2"/>
    </row>
    <row r="145" spans="1:8" x14ac:dyDescent="0.3">
      <c r="A145" s="2" t="s">
        <v>98</v>
      </c>
      <c r="B145" s="2">
        <f t="shared" si="62"/>
        <v>19</v>
      </c>
      <c r="C145" s="2" t="s">
        <v>133</v>
      </c>
      <c r="D145" s="2" t="s">
        <v>134</v>
      </c>
      <c r="E145" s="2">
        <v>2</v>
      </c>
      <c r="F145" s="2" t="s">
        <v>13</v>
      </c>
      <c r="G145" s="2"/>
      <c r="H145" s="2"/>
    </row>
    <row r="146" spans="1:8" x14ac:dyDescent="0.3">
      <c r="A146" s="2" t="s">
        <v>98</v>
      </c>
      <c r="B146" s="2">
        <f t="shared" ref="B146" si="65">B144+1</f>
        <v>20</v>
      </c>
      <c r="C146" s="2" t="s">
        <v>135</v>
      </c>
      <c r="D146" s="2" t="s">
        <v>136</v>
      </c>
      <c r="E146" s="2">
        <v>1</v>
      </c>
      <c r="F146" s="2" t="s">
        <v>11</v>
      </c>
      <c r="G146" s="2"/>
      <c r="H146" s="2"/>
    </row>
    <row r="147" spans="1:8" x14ac:dyDescent="0.3">
      <c r="A147" s="2" t="s">
        <v>98</v>
      </c>
      <c r="B147" s="2">
        <f t="shared" ref="B147" si="66">B146</f>
        <v>20</v>
      </c>
      <c r="C147" s="2" t="s">
        <v>135</v>
      </c>
      <c r="D147" s="2" t="s">
        <v>136</v>
      </c>
      <c r="E147" s="2">
        <v>2</v>
      </c>
      <c r="F147" s="2" t="s">
        <v>13</v>
      </c>
      <c r="G147" s="2"/>
      <c r="H147" s="2"/>
    </row>
    <row r="148" spans="1:8" x14ac:dyDescent="0.3">
      <c r="A148" s="2" t="s">
        <v>98</v>
      </c>
      <c r="B148" s="2">
        <f t="shared" si="57"/>
        <v>21</v>
      </c>
      <c r="C148" s="2" t="s">
        <v>137</v>
      </c>
      <c r="D148" s="2" t="s">
        <v>138</v>
      </c>
      <c r="E148" s="2">
        <v>1</v>
      </c>
      <c r="F148" s="2" t="s">
        <v>11</v>
      </c>
      <c r="G148" s="2"/>
      <c r="H148" s="2"/>
    </row>
    <row r="149" spans="1:8" x14ac:dyDescent="0.3">
      <c r="A149" s="2" t="s">
        <v>98</v>
      </c>
      <c r="B149" s="2">
        <f t="shared" si="58"/>
        <v>21</v>
      </c>
      <c r="C149" s="2" t="s">
        <v>137</v>
      </c>
      <c r="D149" s="2" t="s">
        <v>138</v>
      </c>
      <c r="E149" s="2">
        <v>2</v>
      </c>
      <c r="F149" s="2" t="s">
        <v>13</v>
      </c>
      <c r="G149" s="2"/>
      <c r="H149" s="2"/>
    </row>
    <row r="150" spans="1:8" x14ac:dyDescent="0.3">
      <c r="A150" s="2" t="s">
        <v>98</v>
      </c>
      <c r="B150" s="2">
        <f t="shared" si="59"/>
        <v>22</v>
      </c>
      <c r="C150" s="2" t="s">
        <v>139</v>
      </c>
      <c r="D150" s="2" t="s">
        <v>140</v>
      </c>
      <c r="E150" s="2">
        <v>1</v>
      </c>
      <c r="F150" s="2" t="s">
        <v>11</v>
      </c>
      <c r="G150" s="2"/>
      <c r="H150" s="2"/>
    </row>
    <row r="151" spans="1:8" x14ac:dyDescent="0.3">
      <c r="A151" s="2" t="s">
        <v>98</v>
      </c>
      <c r="B151" s="2">
        <f t="shared" si="60"/>
        <v>22</v>
      </c>
      <c r="C151" s="2" t="s">
        <v>139</v>
      </c>
      <c r="D151" s="2" t="s">
        <v>140</v>
      </c>
      <c r="E151" s="2">
        <v>2</v>
      </c>
      <c r="F151" s="2" t="s">
        <v>13</v>
      </c>
      <c r="G151" s="2"/>
      <c r="H151" s="2"/>
    </row>
    <row r="152" spans="1:8" x14ac:dyDescent="0.3">
      <c r="A152" s="2" t="s">
        <v>98</v>
      </c>
      <c r="B152" s="2">
        <f t="shared" si="61"/>
        <v>23</v>
      </c>
      <c r="C152" s="2" t="s">
        <v>141</v>
      </c>
      <c r="D152" s="2" t="s">
        <v>142</v>
      </c>
      <c r="E152" s="2">
        <v>1</v>
      </c>
      <c r="F152" s="2" t="s">
        <v>11</v>
      </c>
      <c r="G152" s="2"/>
      <c r="H152" s="2"/>
    </row>
    <row r="153" spans="1:8" x14ac:dyDescent="0.3">
      <c r="A153" s="2" t="s">
        <v>98</v>
      </c>
      <c r="B153" s="2">
        <f t="shared" si="62"/>
        <v>23</v>
      </c>
      <c r="C153" s="2" t="s">
        <v>141</v>
      </c>
      <c r="D153" s="2" t="s">
        <v>142</v>
      </c>
      <c r="E153" s="2">
        <v>2</v>
      </c>
      <c r="F153" s="2" t="s">
        <v>13</v>
      </c>
      <c r="G153" s="2"/>
      <c r="H153" s="2"/>
    </row>
    <row r="154" spans="1:8" x14ac:dyDescent="0.3">
      <c r="A154" s="2" t="s">
        <v>98</v>
      </c>
      <c r="B154" s="2">
        <f t="shared" ref="B154" si="67">B152+1</f>
        <v>24</v>
      </c>
      <c r="C154" s="2" t="s">
        <v>143</v>
      </c>
      <c r="D154" s="2" t="s">
        <v>144</v>
      </c>
      <c r="E154" s="2">
        <v>1</v>
      </c>
      <c r="F154" s="2" t="s">
        <v>11</v>
      </c>
      <c r="G154" s="2"/>
      <c r="H154" s="2"/>
    </row>
    <row r="155" spans="1:8" x14ac:dyDescent="0.3">
      <c r="A155" s="2" t="s">
        <v>98</v>
      </c>
      <c r="B155" s="2">
        <f t="shared" ref="B155" si="68">B154</f>
        <v>24</v>
      </c>
      <c r="C155" s="2" t="s">
        <v>143</v>
      </c>
      <c r="D155" s="2" t="s">
        <v>144</v>
      </c>
      <c r="E155" s="2">
        <v>2</v>
      </c>
      <c r="F155" s="2" t="s">
        <v>13</v>
      </c>
      <c r="G155" s="2"/>
      <c r="H155" s="2"/>
    </row>
    <row r="156" spans="1:8" x14ac:dyDescent="0.3">
      <c r="A156" s="2" t="s">
        <v>98</v>
      </c>
      <c r="B156" s="2">
        <f t="shared" si="57"/>
        <v>25</v>
      </c>
      <c r="C156" s="2" t="s">
        <v>145</v>
      </c>
      <c r="D156" s="2" t="s">
        <v>146</v>
      </c>
      <c r="E156" s="2">
        <v>1</v>
      </c>
      <c r="F156" s="2" t="s">
        <v>11</v>
      </c>
      <c r="G156" s="2"/>
      <c r="H156" s="2"/>
    </row>
    <row r="157" spans="1:8" x14ac:dyDescent="0.3">
      <c r="A157" s="2" t="s">
        <v>98</v>
      </c>
      <c r="B157" s="2">
        <f t="shared" si="58"/>
        <v>25</v>
      </c>
      <c r="C157" s="2" t="s">
        <v>145</v>
      </c>
      <c r="D157" s="2" t="s">
        <v>146</v>
      </c>
      <c r="E157" s="2">
        <v>2</v>
      </c>
      <c r="F157" s="2" t="s">
        <v>13</v>
      </c>
      <c r="G157" s="2"/>
      <c r="H157" s="2"/>
    </row>
    <row r="158" spans="1:8" x14ac:dyDescent="0.3">
      <c r="A158" s="2" t="s">
        <v>98</v>
      </c>
      <c r="B158" s="2">
        <f t="shared" si="59"/>
        <v>26</v>
      </c>
      <c r="C158" s="2" t="s">
        <v>147</v>
      </c>
      <c r="D158" s="2" t="s">
        <v>148</v>
      </c>
      <c r="E158" s="2">
        <v>1</v>
      </c>
      <c r="F158" s="2" t="s">
        <v>11</v>
      </c>
      <c r="G158" s="2"/>
      <c r="H158" s="2"/>
    </row>
    <row r="159" spans="1:8" x14ac:dyDescent="0.3">
      <c r="A159" s="2" t="s">
        <v>98</v>
      </c>
      <c r="B159" s="2">
        <f t="shared" si="60"/>
        <v>26</v>
      </c>
      <c r="C159" s="2" t="s">
        <v>147</v>
      </c>
      <c r="D159" s="2" t="s">
        <v>148</v>
      </c>
      <c r="E159" s="2">
        <v>2</v>
      </c>
      <c r="F159" s="2" t="s">
        <v>13</v>
      </c>
      <c r="G159" s="2"/>
      <c r="H159" s="2"/>
    </row>
    <row r="160" spans="1:8" x14ac:dyDescent="0.3">
      <c r="A160" s="2" t="s">
        <v>98</v>
      </c>
      <c r="B160" s="2">
        <f t="shared" si="61"/>
        <v>27</v>
      </c>
      <c r="C160" s="2" t="s">
        <v>149</v>
      </c>
      <c r="D160" s="2" t="s">
        <v>150</v>
      </c>
      <c r="E160" s="2">
        <v>1</v>
      </c>
      <c r="F160" s="2" t="s">
        <v>11</v>
      </c>
      <c r="G160" s="2"/>
      <c r="H160" s="2"/>
    </row>
    <row r="161" spans="1:9" x14ac:dyDescent="0.3">
      <c r="A161" s="2" t="s">
        <v>98</v>
      </c>
      <c r="B161" s="2">
        <f t="shared" si="62"/>
        <v>27</v>
      </c>
      <c r="C161" s="2" t="s">
        <v>149</v>
      </c>
      <c r="D161" s="2" t="s">
        <v>150</v>
      </c>
      <c r="E161" s="2">
        <v>2</v>
      </c>
      <c r="F161" s="2" t="s">
        <v>13</v>
      </c>
      <c r="G161" s="2"/>
      <c r="H161" s="2"/>
    </row>
    <row r="162" spans="1:9" x14ac:dyDescent="0.3">
      <c r="A162" s="2" t="s">
        <v>98</v>
      </c>
      <c r="B162" s="2">
        <f t="shared" ref="B162" si="69">B160+1</f>
        <v>28</v>
      </c>
      <c r="C162" s="2" t="s">
        <v>151</v>
      </c>
      <c r="D162" s="2" t="s">
        <v>152</v>
      </c>
      <c r="E162" s="2">
        <v>1</v>
      </c>
      <c r="F162" s="2" t="s">
        <v>11</v>
      </c>
      <c r="G162" s="2"/>
      <c r="H162" s="2"/>
    </row>
    <row r="163" spans="1:9" x14ac:dyDescent="0.3">
      <c r="A163" s="2" t="s">
        <v>98</v>
      </c>
      <c r="B163" s="2">
        <f t="shared" ref="B163" si="70">B162</f>
        <v>28</v>
      </c>
      <c r="C163" s="2" t="s">
        <v>151</v>
      </c>
      <c r="D163" s="2" t="s">
        <v>152</v>
      </c>
      <c r="E163" s="2">
        <v>2</v>
      </c>
      <c r="F163" s="2" t="s">
        <v>13</v>
      </c>
      <c r="G163" s="2"/>
      <c r="H163" s="2"/>
    </row>
    <row r="164" spans="1:9" x14ac:dyDescent="0.3">
      <c r="A164" s="2" t="s">
        <v>98</v>
      </c>
      <c r="B164" s="2">
        <f t="shared" si="57"/>
        <v>29</v>
      </c>
      <c r="C164" s="2" t="s">
        <v>153</v>
      </c>
      <c r="D164" s="2" t="s">
        <v>154</v>
      </c>
      <c r="E164" s="2">
        <v>1</v>
      </c>
      <c r="F164" s="2" t="s">
        <v>11</v>
      </c>
      <c r="G164" s="2"/>
      <c r="H164" s="2"/>
    </row>
    <row r="165" spans="1:9" x14ac:dyDescent="0.3">
      <c r="A165" s="2" t="s">
        <v>98</v>
      </c>
      <c r="B165" s="2">
        <f t="shared" si="58"/>
        <v>29</v>
      </c>
      <c r="C165" s="2" t="s">
        <v>153</v>
      </c>
      <c r="D165" s="2" t="s">
        <v>154</v>
      </c>
      <c r="E165" s="2">
        <v>2</v>
      </c>
      <c r="F165" s="2" t="s">
        <v>13</v>
      </c>
      <c r="G165" s="2"/>
      <c r="H165" s="2"/>
    </row>
    <row r="166" spans="1:9" x14ac:dyDescent="0.3">
      <c r="A166" s="2" t="s">
        <v>98</v>
      </c>
      <c r="B166" s="2">
        <f t="shared" si="59"/>
        <v>30</v>
      </c>
      <c r="C166" s="2" t="s">
        <v>155</v>
      </c>
      <c r="D166" s="2" t="s">
        <v>156</v>
      </c>
      <c r="E166" s="2">
        <v>1</v>
      </c>
      <c r="F166" s="2" t="s">
        <v>11</v>
      </c>
      <c r="G166" s="2"/>
      <c r="H166" s="2"/>
    </row>
    <row r="167" spans="1:9" x14ac:dyDescent="0.3">
      <c r="A167" s="2" t="s">
        <v>98</v>
      </c>
      <c r="B167" s="2">
        <f t="shared" si="60"/>
        <v>30</v>
      </c>
      <c r="C167" s="2" t="s">
        <v>155</v>
      </c>
      <c r="D167" s="2" t="s">
        <v>156</v>
      </c>
      <c r="E167" s="2">
        <v>2</v>
      </c>
      <c r="F167" s="2" t="s">
        <v>13</v>
      </c>
      <c r="G167" s="2"/>
      <c r="H167" s="2"/>
    </row>
    <row r="168" spans="1:9" x14ac:dyDescent="0.3">
      <c r="A168" s="2" t="s">
        <v>98</v>
      </c>
      <c r="B168" s="2">
        <f t="shared" si="61"/>
        <v>31</v>
      </c>
      <c r="C168" s="2" t="s">
        <v>157</v>
      </c>
      <c r="D168" s="2" t="s">
        <v>158</v>
      </c>
      <c r="E168" s="2">
        <v>1</v>
      </c>
      <c r="F168" s="2" t="s">
        <v>11</v>
      </c>
      <c r="G168" s="2"/>
      <c r="H168" s="2"/>
    </row>
    <row r="169" spans="1:9" x14ac:dyDescent="0.3">
      <c r="A169" s="2" t="s">
        <v>98</v>
      </c>
      <c r="B169" s="2">
        <f t="shared" si="62"/>
        <v>31</v>
      </c>
      <c r="C169" s="2" t="s">
        <v>157</v>
      </c>
      <c r="D169" s="2" t="s">
        <v>158</v>
      </c>
      <c r="E169" s="2">
        <v>2</v>
      </c>
      <c r="F169" s="2" t="s">
        <v>13</v>
      </c>
      <c r="G169" s="2"/>
      <c r="H169" s="2"/>
    </row>
    <row r="170" spans="1:9" x14ac:dyDescent="0.3">
      <c r="A170" s="2" t="s">
        <v>98</v>
      </c>
      <c r="B170" s="2">
        <f t="shared" ref="B170" si="71">B168+1</f>
        <v>32</v>
      </c>
      <c r="C170" s="2" t="s">
        <v>159</v>
      </c>
      <c r="D170" s="2" t="s">
        <v>160</v>
      </c>
      <c r="E170" s="2">
        <v>1</v>
      </c>
      <c r="F170" s="2" t="s">
        <v>11</v>
      </c>
      <c r="G170" s="2"/>
      <c r="H170" s="2"/>
    </row>
    <row r="171" spans="1:9" x14ac:dyDescent="0.3">
      <c r="A171" s="2" t="s">
        <v>98</v>
      </c>
      <c r="B171" s="2">
        <f t="shared" ref="B171" si="72">B170</f>
        <v>32</v>
      </c>
      <c r="C171" s="2" t="s">
        <v>159</v>
      </c>
      <c r="D171" s="2" t="s">
        <v>160</v>
      </c>
      <c r="E171" s="2">
        <v>2</v>
      </c>
      <c r="F171" s="2" t="s">
        <v>13</v>
      </c>
      <c r="G171" s="2"/>
      <c r="H171" s="2"/>
    </row>
    <row r="172" spans="1:9" x14ac:dyDescent="0.3">
      <c r="A172" s="2" t="s">
        <v>98</v>
      </c>
      <c r="B172" s="2">
        <f t="shared" si="57"/>
        <v>33</v>
      </c>
      <c r="C172" s="2" t="s">
        <v>161</v>
      </c>
      <c r="D172" s="2" t="s">
        <v>162</v>
      </c>
      <c r="E172" s="2">
        <v>1</v>
      </c>
      <c r="F172" s="2" t="s">
        <v>11</v>
      </c>
      <c r="G172" s="2"/>
      <c r="H172" s="2"/>
    </row>
    <row r="173" spans="1:9" x14ac:dyDescent="0.3">
      <c r="A173" s="2" t="s">
        <v>98</v>
      </c>
      <c r="B173" s="2">
        <f t="shared" si="58"/>
        <v>33</v>
      </c>
      <c r="C173" s="2" t="s">
        <v>161</v>
      </c>
      <c r="D173" s="2" t="s">
        <v>162</v>
      </c>
      <c r="E173" s="2">
        <v>2</v>
      </c>
      <c r="F173" s="2" t="s">
        <v>13</v>
      </c>
      <c r="G173" s="2"/>
      <c r="H173" s="2"/>
    </row>
    <row r="174" spans="1:9" x14ac:dyDescent="0.3">
      <c r="A174" s="2" t="s">
        <v>98</v>
      </c>
      <c r="B174" s="2">
        <f t="shared" si="59"/>
        <v>34</v>
      </c>
      <c r="C174" s="2" t="s">
        <v>163</v>
      </c>
      <c r="D174" s="2" t="s">
        <v>164</v>
      </c>
      <c r="E174" s="2">
        <v>1</v>
      </c>
      <c r="F174" s="2" t="s">
        <v>11</v>
      </c>
      <c r="G174" s="2"/>
      <c r="H174" s="2"/>
    </row>
    <row r="175" spans="1:9" x14ac:dyDescent="0.3">
      <c r="A175" s="2" t="s">
        <v>98</v>
      </c>
      <c r="B175" s="2">
        <f t="shared" si="60"/>
        <v>34</v>
      </c>
      <c r="C175" s="2" t="s">
        <v>163</v>
      </c>
      <c r="D175" s="2" t="s">
        <v>164</v>
      </c>
      <c r="E175" s="2">
        <v>2</v>
      </c>
      <c r="F175" s="2" t="s">
        <v>13</v>
      </c>
      <c r="G175" s="2"/>
      <c r="H175" s="2"/>
    </row>
    <row r="176" spans="1:9" x14ac:dyDescent="0.3">
      <c r="A176" s="10" t="s">
        <v>165</v>
      </c>
      <c r="B176" s="11">
        <v>1</v>
      </c>
      <c r="C176" s="11" t="s">
        <v>166</v>
      </c>
      <c r="D176" s="11" t="s">
        <v>167</v>
      </c>
      <c r="E176" s="11">
        <v>1</v>
      </c>
      <c r="F176" s="11" t="s">
        <v>11</v>
      </c>
      <c r="G176" s="11" t="s">
        <v>12</v>
      </c>
      <c r="H176" s="11">
        <v>1</v>
      </c>
      <c r="I176" s="12"/>
    </row>
    <row r="177" spans="1:9" x14ac:dyDescent="0.3">
      <c r="A177" s="13" t="s">
        <v>165</v>
      </c>
      <c r="B177" s="14">
        <f t="shared" ref="B177" si="73">B176</f>
        <v>1</v>
      </c>
      <c r="C177" s="14" t="s">
        <v>166</v>
      </c>
      <c r="D177" s="14" t="s">
        <v>167</v>
      </c>
      <c r="E177" s="14">
        <v>2</v>
      </c>
      <c r="F177" s="14" t="s">
        <v>13</v>
      </c>
      <c r="G177" s="14" t="s">
        <v>14</v>
      </c>
      <c r="H177" s="14">
        <v>1</v>
      </c>
      <c r="I177" s="12"/>
    </row>
    <row r="178" spans="1:9" x14ac:dyDescent="0.3">
      <c r="A178" s="13" t="s">
        <v>165</v>
      </c>
      <c r="B178" s="14">
        <f t="shared" ref="B178" si="74">B176+1</f>
        <v>2</v>
      </c>
      <c r="C178" s="14" t="s">
        <v>168</v>
      </c>
      <c r="D178" s="14" t="s">
        <v>169</v>
      </c>
      <c r="E178" s="14">
        <v>1</v>
      </c>
      <c r="F178" s="14" t="s">
        <v>11</v>
      </c>
      <c r="G178" s="14" t="s">
        <v>12</v>
      </c>
      <c r="H178" s="14">
        <v>1</v>
      </c>
      <c r="I178" s="12"/>
    </row>
    <row r="179" spans="1:9" x14ac:dyDescent="0.3">
      <c r="A179" s="13" t="s">
        <v>165</v>
      </c>
      <c r="B179" s="14">
        <f t="shared" ref="B179" si="75">B178</f>
        <v>2</v>
      </c>
      <c r="C179" s="14" t="s">
        <v>168</v>
      </c>
      <c r="D179" s="14" t="s">
        <v>169</v>
      </c>
      <c r="E179" s="14">
        <v>2</v>
      </c>
      <c r="F179" s="14" t="s">
        <v>13</v>
      </c>
      <c r="G179" s="14" t="s">
        <v>14</v>
      </c>
      <c r="H179" s="14">
        <v>1</v>
      </c>
      <c r="I179" s="12"/>
    </row>
    <row r="180" spans="1:9" x14ac:dyDescent="0.3">
      <c r="A180" s="13" t="s">
        <v>165</v>
      </c>
      <c r="B180" s="14">
        <f t="shared" ref="B180" si="76">B178+1</f>
        <v>3</v>
      </c>
      <c r="C180" s="14" t="s">
        <v>170</v>
      </c>
      <c r="D180" s="14" t="s">
        <v>171</v>
      </c>
      <c r="E180" s="14">
        <v>1</v>
      </c>
      <c r="F180" s="14" t="s">
        <v>11</v>
      </c>
      <c r="G180" s="14" t="s">
        <v>12</v>
      </c>
      <c r="H180" s="14">
        <v>1</v>
      </c>
      <c r="I180" s="12"/>
    </row>
    <row r="181" spans="1:9" x14ac:dyDescent="0.3">
      <c r="A181" s="13" t="s">
        <v>165</v>
      </c>
      <c r="B181" s="14">
        <f t="shared" ref="B181" si="77">B180</f>
        <v>3</v>
      </c>
      <c r="C181" s="14" t="s">
        <v>170</v>
      </c>
      <c r="D181" s="14" t="s">
        <v>171</v>
      </c>
      <c r="E181" s="14">
        <v>2</v>
      </c>
      <c r="F181" s="14" t="s">
        <v>13</v>
      </c>
      <c r="G181" s="14" t="s">
        <v>14</v>
      </c>
      <c r="H181" s="14">
        <v>1</v>
      </c>
      <c r="I181" s="12"/>
    </row>
    <row r="182" spans="1:9" x14ac:dyDescent="0.3">
      <c r="A182" s="13" t="s">
        <v>165</v>
      </c>
      <c r="B182" s="14">
        <f t="shared" ref="B182" si="78">B180+1</f>
        <v>4</v>
      </c>
      <c r="C182" s="14" t="s">
        <v>172</v>
      </c>
      <c r="D182" s="14" t="s">
        <v>173</v>
      </c>
      <c r="E182" s="14">
        <v>1</v>
      </c>
      <c r="F182" s="14" t="s">
        <v>11</v>
      </c>
      <c r="G182" s="14" t="s">
        <v>12</v>
      </c>
      <c r="H182" s="14">
        <v>1</v>
      </c>
      <c r="I182" s="12"/>
    </row>
    <row r="183" spans="1:9" x14ac:dyDescent="0.3">
      <c r="A183" s="13" t="s">
        <v>165</v>
      </c>
      <c r="B183" s="14">
        <f t="shared" ref="B183" si="79">B182</f>
        <v>4</v>
      </c>
      <c r="C183" s="14" t="s">
        <v>172</v>
      </c>
      <c r="D183" s="14" t="s">
        <v>173</v>
      </c>
      <c r="E183" s="14">
        <v>2</v>
      </c>
      <c r="F183" s="14" t="s">
        <v>13</v>
      </c>
      <c r="G183" s="14" t="s">
        <v>14</v>
      </c>
      <c r="H183" s="14">
        <v>1</v>
      </c>
      <c r="I183" s="12"/>
    </row>
    <row r="184" spans="1:9" x14ac:dyDescent="0.3">
      <c r="A184" s="13" t="s">
        <v>165</v>
      </c>
      <c r="B184" s="14">
        <f t="shared" ref="B184" si="80">B182+1</f>
        <v>5</v>
      </c>
      <c r="C184" s="14" t="s">
        <v>174</v>
      </c>
      <c r="D184" s="14" t="s">
        <v>175</v>
      </c>
      <c r="E184" s="14">
        <v>1</v>
      </c>
      <c r="F184" s="14" t="s">
        <v>11</v>
      </c>
      <c r="G184" s="14" t="s">
        <v>12</v>
      </c>
      <c r="H184" s="14">
        <v>1</v>
      </c>
      <c r="I184" s="12"/>
    </row>
    <row r="185" spans="1:9" x14ac:dyDescent="0.3">
      <c r="A185" s="13" t="s">
        <v>165</v>
      </c>
      <c r="B185" s="14">
        <f t="shared" ref="B185" si="81">B184</f>
        <v>5</v>
      </c>
      <c r="C185" s="14" t="s">
        <v>174</v>
      </c>
      <c r="D185" s="14" t="s">
        <v>175</v>
      </c>
      <c r="E185" s="14">
        <v>2</v>
      </c>
      <c r="F185" s="14" t="s">
        <v>13</v>
      </c>
      <c r="G185" s="14" t="s">
        <v>14</v>
      </c>
      <c r="H185" s="14">
        <v>1</v>
      </c>
      <c r="I185" s="12"/>
    </row>
    <row r="186" spans="1:9" x14ac:dyDescent="0.3">
      <c r="A186" s="13" t="s">
        <v>165</v>
      </c>
      <c r="B186" s="14">
        <f t="shared" ref="B186:B242" si="82">B184+1</f>
        <v>6</v>
      </c>
      <c r="C186" s="14" t="s">
        <v>176</v>
      </c>
      <c r="D186" s="14" t="s">
        <v>177</v>
      </c>
      <c r="E186" s="14">
        <v>1</v>
      </c>
      <c r="F186" s="14" t="s">
        <v>11</v>
      </c>
      <c r="G186" s="14" t="s">
        <v>12</v>
      </c>
      <c r="H186" s="14">
        <v>1</v>
      </c>
      <c r="I186" s="12"/>
    </row>
    <row r="187" spans="1:9" x14ac:dyDescent="0.3">
      <c r="A187" s="13" t="s">
        <v>165</v>
      </c>
      <c r="B187" s="14">
        <f t="shared" ref="B187:B243" si="83">B186</f>
        <v>6</v>
      </c>
      <c r="C187" s="14" t="s">
        <v>176</v>
      </c>
      <c r="D187" s="14" t="s">
        <v>177</v>
      </c>
      <c r="E187" s="14">
        <v>2</v>
      </c>
      <c r="F187" s="14" t="s">
        <v>13</v>
      </c>
      <c r="G187" s="14" t="s">
        <v>14</v>
      </c>
      <c r="H187" s="14">
        <v>1</v>
      </c>
      <c r="I187" s="12"/>
    </row>
    <row r="188" spans="1:9" x14ac:dyDescent="0.3">
      <c r="A188" s="13" t="s">
        <v>165</v>
      </c>
      <c r="B188" s="14">
        <f t="shared" ref="B188:B244" si="84">B186+1</f>
        <v>7</v>
      </c>
      <c r="C188" s="14" t="s">
        <v>178</v>
      </c>
      <c r="D188" s="14" t="s">
        <v>179</v>
      </c>
      <c r="E188" s="14">
        <v>1</v>
      </c>
      <c r="F188" s="14" t="s">
        <v>11</v>
      </c>
      <c r="G188" s="14" t="s">
        <v>12</v>
      </c>
      <c r="H188" s="14">
        <v>1</v>
      </c>
      <c r="I188" s="12"/>
    </row>
    <row r="189" spans="1:9" x14ac:dyDescent="0.3">
      <c r="A189" s="13" t="s">
        <v>165</v>
      </c>
      <c r="B189" s="14">
        <f t="shared" ref="B189:B245" si="85">B188</f>
        <v>7</v>
      </c>
      <c r="C189" s="14" t="s">
        <v>178</v>
      </c>
      <c r="D189" s="14" t="s">
        <v>179</v>
      </c>
      <c r="E189" s="14">
        <v>2</v>
      </c>
      <c r="F189" s="14" t="s">
        <v>13</v>
      </c>
      <c r="G189" s="14" t="s">
        <v>14</v>
      </c>
      <c r="H189" s="14">
        <v>1</v>
      </c>
      <c r="I189" s="12"/>
    </row>
    <row r="190" spans="1:9" x14ac:dyDescent="0.3">
      <c r="A190" s="13" t="s">
        <v>165</v>
      </c>
      <c r="B190" s="14">
        <f t="shared" ref="B190:B246" si="86">B188+1</f>
        <v>8</v>
      </c>
      <c r="C190" s="14" t="s">
        <v>180</v>
      </c>
      <c r="D190" s="14" t="s">
        <v>181</v>
      </c>
      <c r="E190" s="14">
        <v>1</v>
      </c>
      <c r="F190" s="14" t="s">
        <v>11</v>
      </c>
      <c r="G190" s="14" t="s">
        <v>12</v>
      </c>
      <c r="H190" s="14">
        <v>1</v>
      </c>
      <c r="I190" s="12"/>
    </row>
    <row r="191" spans="1:9" x14ac:dyDescent="0.3">
      <c r="A191" s="13" t="s">
        <v>165</v>
      </c>
      <c r="B191" s="14">
        <f t="shared" ref="B191:B247" si="87">B190</f>
        <v>8</v>
      </c>
      <c r="C191" s="14" t="s">
        <v>180</v>
      </c>
      <c r="D191" s="14" t="s">
        <v>181</v>
      </c>
      <c r="E191" s="14">
        <v>2</v>
      </c>
      <c r="F191" s="14" t="s">
        <v>13</v>
      </c>
      <c r="G191" s="14" t="s">
        <v>14</v>
      </c>
      <c r="H191" s="14">
        <v>1</v>
      </c>
      <c r="I191" s="12"/>
    </row>
    <row r="192" spans="1:9" x14ac:dyDescent="0.3">
      <c r="A192" s="13" t="s">
        <v>165</v>
      </c>
      <c r="B192" s="14">
        <f t="shared" ref="B192" si="88">B190+1</f>
        <v>9</v>
      </c>
      <c r="C192" s="14" t="s">
        <v>182</v>
      </c>
      <c r="D192" s="14" t="s">
        <v>183</v>
      </c>
      <c r="E192" s="14">
        <v>1</v>
      </c>
      <c r="F192" s="14" t="s">
        <v>11</v>
      </c>
      <c r="G192" s="14" t="s">
        <v>12</v>
      </c>
      <c r="H192" s="14">
        <v>1</v>
      </c>
      <c r="I192" s="12"/>
    </row>
    <row r="193" spans="1:9" x14ac:dyDescent="0.3">
      <c r="A193" s="13" t="s">
        <v>165</v>
      </c>
      <c r="B193" s="14">
        <f t="shared" ref="B193" si="89">B192</f>
        <v>9</v>
      </c>
      <c r="C193" s="14" t="s">
        <v>182</v>
      </c>
      <c r="D193" s="14" t="s">
        <v>183</v>
      </c>
      <c r="E193" s="14">
        <v>2</v>
      </c>
      <c r="F193" s="14" t="s">
        <v>13</v>
      </c>
      <c r="G193" s="14" t="s">
        <v>14</v>
      </c>
      <c r="H193" s="14">
        <v>1</v>
      </c>
      <c r="I193" s="12"/>
    </row>
    <row r="194" spans="1:9" x14ac:dyDescent="0.3">
      <c r="A194" s="13" t="s">
        <v>165</v>
      </c>
      <c r="B194" s="14">
        <f t="shared" si="82"/>
        <v>10</v>
      </c>
      <c r="C194" s="14" t="s">
        <v>184</v>
      </c>
      <c r="D194" s="14" t="s">
        <v>185</v>
      </c>
      <c r="E194" s="14">
        <v>1</v>
      </c>
      <c r="F194" s="14" t="s">
        <v>11</v>
      </c>
      <c r="G194" s="14" t="s">
        <v>12</v>
      </c>
      <c r="H194" s="14">
        <v>1</v>
      </c>
      <c r="I194" s="12"/>
    </row>
    <row r="195" spans="1:9" x14ac:dyDescent="0.3">
      <c r="A195" s="13" t="s">
        <v>165</v>
      </c>
      <c r="B195" s="14">
        <f t="shared" si="83"/>
        <v>10</v>
      </c>
      <c r="C195" s="14" t="s">
        <v>184</v>
      </c>
      <c r="D195" s="14" t="s">
        <v>185</v>
      </c>
      <c r="E195" s="14">
        <v>2</v>
      </c>
      <c r="F195" s="14" t="s">
        <v>13</v>
      </c>
      <c r="G195" s="14" t="s">
        <v>14</v>
      </c>
      <c r="H195" s="14">
        <v>1</v>
      </c>
      <c r="I195" s="12"/>
    </row>
    <row r="196" spans="1:9" x14ac:dyDescent="0.3">
      <c r="A196" s="13" t="s">
        <v>165</v>
      </c>
      <c r="B196" s="14">
        <f t="shared" si="84"/>
        <v>11</v>
      </c>
      <c r="C196" s="14" t="s">
        <v>186</v>
      </c>
      <c r="D196" s="14" t="s">
        <v>187</v>
      </c>
      <c r="E196" s="14">
        <v>1</v>
      </c>
      <c r="F196" s="14" t="s">
        <v>11</v>
      </c>
      <c r="G196" s="14" t="s">
        <v>12</v>
      </c>
      <c r="H196" s="14">
        <v>1</v>
      </c>
      <c r="I196" s="12"/>
    </row>
    <row r="197" spans="1:9" x14ac:dyDescent="0.3">
      <c r="A197" s="13" t="s">
        <v>165</v>
      </c>
      <c r="B197" s="14">
        <f t="shared" si="85"/>
        <v>11</v>
      </c>
      <c r="C197" s="14" t="s">
        <v>186</v>
      </c>
      <c r="D197" s="14" t="s">
        <v>187</v>
      </c>
      <c r="E197" s="14">
        <v>2</v>
      </c>
      <c r="F197" s="14" t="s">
        <v>13</v>
      </c>
      <c r="G197" s="14" t="s">
        <v>14</v>
      </c>
      <c r="H197" s="14">
        <v>1</v>
      </c>
      <c r="I197" s="12"/>
    </row>
    <row r="198" spans="1:9" x14ac:dyDescent="0.3">
      <c r="A198" s="13" t="s">
        <v>165</v>
      </c>
      <c r="B198" s="14">
        <f t="shared" si="86"/>
        <v>12</v>
      </c>
      <c r="C198" s="14" t="s">
        <v>188</v>
      </c>
      <c r="D198" s="14" t="s">
        <v>189</v>
      </c>
      <c r="E198" s="14">
        <v>1</v>
      </c>
      <c r="F198" s="14" t="s">
        <v>11</v>
      </c>
      <c r="G198" s="14" t="s">
        <v>12</v>
      </c>
      <c r="H198" s="14">
        <v>1</v>
      </c>
      <c r="I198" s="12"/>
    </row>
    <row r="199" spans="1:9" x14ac:dyDescent="0.3">
      <c r="A199" s="13" t="s">
        <v>165</v>
      </c>
      <c r="B199" s="14">
        <f t="shared" si="87"/>
        <v>12</v>
      </c>
      <c r="C199" s="14" t="s">
        <v>188</v>
      </c>
      <c r="D199" s="14" t="s">
        <v>189</v>
      </c>
      <c r="E199" s="14">
        <v>2</v>
      </c>
      <c r="F199" s="14" t="s">
        <v>13</v>
      </c>
      <c r="G199" s="14" t="s">
        <v>14</v>
      </c>
      <c r="H199" s="14">
        <v>1</v>
      </c>
      <c r="I199" s="12"/>
    </row>
    <row r="200" spans="1:9" x14ac:dyDescent="0.3">
      <c r="A200" s="13" t="s">
        <v>165</v>
      </c>
      <c r="B200" s="14">
        <f t="shared" ref="B200" si="90">B198+1</f>
        <v>13</v>
      </c>
      <c r="C200" s="14" t="s">
        <v>190</v>
      </c>
      <c r="D200" s="14" t="s">
        <v>191</v>
      </c>
      <c r="E200" s="14">
        <v>1</v>
      </c>
      <c r="F200" s="14" t="s">
        <v>11</v>
      </c>
      <c r="G200" s="14" t="s">
        <v>12</v>
      </c>
      <c r="H200" s="14">
        <v>1</v>
      </c>
      <c r="I200" s="12"/>
    </row>
    <row r="201" spans="1:9" x14ac:dyDescent="0.3">
      <c r="A201" s="13" t="s">
        <v>165</v>
      </c>
      <c r="B201" s="14">
        <f t="shared" ref="B201" si="91">B200</f>
        <v>13</v>
      </c>
      <c r="C201" s="14" t="s">
        <v>190</v>
      </c>
      <c r="D201" s="14" t="s">
        <v>191</v>
      </c>
      <c r="E201" s="14">
        <v>2</v>
      </c>
      <c r="F201" s="14" t="s">
        <v>13</v>
      </c>
      <c r="G201" s="14" t="s">
        <v>14</v>
      </c>
      <c r="H201" s="14">
        <v>1</v>
      </c>
      <c r="I201" s="12"/>
    </row>
    <row r="202" spans="1:9" x14ac:dyDescent="0.3">
      <c r="A202" s="13" t="s">
        <v>165</v>
      </c>
      <c r="B202" s="14">
        <f t="shared" si="82"/>
        <v>14</v>
      </c>
      <c r="C202" s="14" t="s">
        <v>192</v>
      </c>
      <c r="D202" s="14" t="s">
        <v>193</v>
      </c>
      <c r="E202" s="14">
        <v>1</v>
      </c>
      <c r="F202" s="14" t="s">
        <v>11</v>
      </c>
      <c r="G202" s="14" t="s">
        <v>12</v>
      </c>
      <c r="H202" s="14">
        <v>1</v>
      </c>
      <c r="I202" s="12"/>
    </row>
    <row r="203" spans="1:9" x14ac:dyDescent="0.3">
      <c r="A203" s="13" t="s">
        <v>165</v>
      </c>
      <c r="B203" s="14">
        <f t="shared" si="83"/>
        <v>14</v>
      </c>
      <c r="C203" s="14" t="s">
        <v>192</v>
      </c>
      <c r="D203" s="14" t="s">
        <v>193</v>
      </c>
      <c r="E203" s="14">
        <v>2</v>
      </c>
      <c r="F203" s="14" t="s">
        <v>13</v>
      </c>
      <c r="G203" s="14" t="s">
        <v>14</v>
      </c>
      <c r="H203" s="14">
        <v>1</v>
      </c>
      <c r="I203" s="12"/>
    </row>
    <row r="204" spans="1:9" x14ac:dyDescent="0.3">
      <c r="A204" s="13" t="s">
        <v>165</v>
      </c>
      <c r="B204" s="14">
        <f t="shared" si="84"/>
        <v>15</v>
      </c>
      <c r="C204" s="14" t="s">
        <v>194</v>
      </c>
      <c r="D204" s="14" t="s">
        <v>195</v>
      </c>
      <c r="E204" s="14">
        <v>1</v>
      </c>
      <c r="F204" s="14" t="s">
        <v>11</v>
      </c>
      <c r="G204" s="14" t="s">
        <v>12</v>
      </c>
      <c r="H204" s="14">
        <v>1</v>
      </c>
      <c r="I204" s="12"/>
    </row>
    <row r="205" spans="1:9" x14ac:dyDescent="0.3">
      <c r="A205" s="13" t="s">
        <v>165</v>
      </c>
      <c r="B205" s="14">
        <f t="shared" si="85"/>
        <v>15</v>
      </c>
      <c r="C205" s="14" t="s">
        <v>194</v>
      </c>
      <c r="D205" s="14" t="s">
        <v>195</v>
      </c>
      <c r="E205" s="14">
        <v>2</v>
      </c>
      <c r="F205" s="14" t="s">
        <v>13</v>
      </c>
      <c r="G205" s="14" t="s">
        <v>14</v>
      </c>
      <c r="H205" s="14">
        <v>1</v>
      </c>
      <c r="I205" s="12"/>
    </row>
    <row r="206" spans="1:9" x14ac:dyDescent="0.3">
      <c r="A206" s="13" t="s">
        <v>165</v>
      </c>
      <c r="B206" s="14">
        <f t="shared" si="86"/>
        <v>16</v>
      </c>
      <c r="C206" s="14" t="s">
        <v>196</v>
      </c>
      <c r="D206" s="14" t="s">
        <v>197</v>
      </c>
      <c r="E206" s="14">
        <v>1</v>
      </c>
      <c r="F206" s="14" t="s">
        <v>11</v>
      </c>
      <c r="G206" s="14" t="s">
        <v>12</v>
      </c>
      <c r="H206" s="14">
        <v>1</v>
      </c>
      <c r="I206" s="12"/>
    </row>
    <row r="207" spans="1:9" x14ac:dyDescent="0.3">
      <c r="A207" s="13" t="s">
        <v>165</v>
      </c>
      <c r="B207" s="14">
        <f t="shared" si="87"/>
        <v>16</v>
      </c>
      <c r="C207" s="14" t="s">
        <v>196</v>
      </c>
      <c r="D207" s="14" t="s">
        <v>197</v>
      </c>
      <c r="E207" s="14">
        <v>2</v>
      </c>
      <c r="F207" s="14" t="s">
        <v>13</v>
      </c>
      <c r="G207" s="14" t="s">
        <v>14</v>
      </c>
      <c r="H207" s="14">
        <v>1</v>
      </c>
      <c r="I207" s="12"/>
    </row>
    <row r="208" spans="1:9" x14ac:dyDescent="0.3">
      <c r="A208" s="13" t="s">
        <v>165</v>
      </c>
      <c r="B208" s="14">
        <f t="shared" ref="B208" si="92">B206+1</f>
        <v>17</v>
      </c>
      <c r="C208" s="14" t="s">
        <v>198</v>
      </c>
      <c r="D208" s="14" t="s">
        <v>199</v>
      </c>
      <c r="E208" s="14">
        <v>1</v>
      </c>
      <c r="F208" s="14" t="s">
        <v>11</v>
      </c>
      <c r="G208" s="14" t="s">
        <v>12</v>
      </c>
      <c r="H208" s="14">
        <v>1</v>
      </c>
      <c r="I208" s="12"/>
    </row>
    <row r="209" spans="1:9" x14ac:dyDescent="0.3">
      <c r="A209" s="13" t="s">
        <v>165</v>
      </c>
      <c r="B209" s="14">
        <f t="shared" ref="B209" si="93">B208</f>
        <v>17</v>
      </c>
      <c r="C209" s="14" t="s">
        <v>198</v>
      </c>
      <c r="D209" s="14" t="s">
        <v>199</v>
      </c>
      <c r="E209" s="14">
        <v>2</v>
      </c>
      <c r="F209" s="14" t="s">
        <v>13</v>
      </c>
      <c r="G209" s="14" t="s">
        <v>14</v>
      </c>
      <c r="H209" s="14">
        <v>1</v>
      </c>
      <c r="I209" s="12"/>
    </row>
    <row r="210" spans="1:9" x14ac:dyDescent="0.3">
      <c r="A210" s="13" t="s">
        <v>165</v>
      </c>
      <c r="B210" s="14">
        <f t="shared" si="82"/>
        <v>18</v>
      </c>
      <c r="C210" s="14" t="s">
        <v>200</v>
      </c>
      <c r="D210" s="14" t="s">
        <v>201</v>
      </c>
      <c r="E210" s="14">
        <v>1</v>
      </c>
      <c r="F210" s="14" t="s">
        <v>11</v>
      </c>
      <c r="G210" s="14" t="s">
        <v>12</v>
      </c>
      <c r="H210" s="14">
        <v>1</v>
      </c>
      <c r="I210" s="12"/>
    </row>
    <row r="211" spans="1:9" x14ac:dyDescent="0.3">
      <c r="A211" s="13" t="s">
        <v>165</v>
      </c>
      <c r="B211" s="14">
        <f t="shared" si="83"/>
        <v>18</v>
      </c>
      <c r="C211" s="14" t="s">
        <v>200</v>
      </c>
      <c r="D211" s="14" t="s">
        <v>201</v>
      </c>
      <c r="E211" s="14">
        <v>2</v>
      </c>
      <c r="F211" s="14" t="s">
        <v>13</v>
      </c>
      <c r="G211" s="14" t="s">
        <v>14</v>
      </c>
      <c r="H211" s="14">
        <v>1</v>
      </c>
      <c r="I211" s="12"/>
    </row>
    <row r="212" spans="1:9" x14ac:dyDescent="0.3">
      <c r="A212" s="13" t="s">
        <v>165</v>
      </c>
      <c r="B212" s="14">
        <f t="shared" si="84"/>
        <v>19</v>
      </c>
      <c r="C212" s="14" t="s">
        <v>202</v>
      </c>
      <c r="D212" s="14" t="s">
        <v>203</v>
      </c>
      <c r="E212" s="14">
        <v>1</v>
      </c>
      <c r="F212" s="14" t="s">
        <v>11</v>
      </c>
      <c r="G212" s="14" t="s">
        <v>12</v>
      </c>
      <c r="H212" s="14">
        <v>1</v>
      </c>
      <c r="I212" s="12"/>
    </row>
    <row r="213" spans="1:9" x14ac:dyDescent="0.3">
      <c r="A213" s="13" t="s">
        <v>165</v>
      </c>
      <c r="B213" s="14">
        <f t="shared" si="85"/>
        <v>19</v>
      </c>
      <c r="C213" s="14" t="s">
        <v>202</v>
      </c>
      <c r="D213" s="14" t="s">
        <v>203</v>
      </c>
      <c r="E213" s="14">
        <v>2</v>
      </c>
      <c r="F213" s="14" t="s">
        <v>13</v>
      </c>
      <c r="G213" s="14" t="s">
        <v>14</v>
      </c>
      <c r="H213" s="14">
        <v>1</v>
      </c>
      <c r="I213" s="12"/>
    </row>
    <row r="214" spans="1:9" x14ac:dyDescent="0.3">
      <c r="A214" s="13" t="s">
        <v>165</v>
      </c>
      <c r="B214" s="14">
        <f t="shared" si="86"/>
        <v>20</v>
      </c>
      <c r="C214" s="14" t="s">
        <v>204</v>
      </c>
      <c r="D214" s="14" t="s">
        <v>205</v>
      </c>
      <c r="E214" s="14">
        <v>1</v>
      </c>
      <c r="F214" s="14" t="s">
        <v>11</v>
      </c>
      <c r="G214" s="14" t="s">
        <v>12</v>
      </c>
      <c r="H214" s="14">
        <v>1</v>
      </c>
      <c r="I214" s="12"/>
    </row>
    <row r="215" spans="1:9" x14ac:dyDescent="0.3">
      <c r="A215" s="13" t="s">
        <v>165</v>
      </c>
      <c r="B215" s="14">
        <f t="shared" si="87"/>
        <v>20</v>
      </c>
      <c r="C215" s="14" t="s">
        <v>204</v>
      </c>
      <c r="D215" s="14" t="s">
        <v>205</v>
      </c>
      <c r="E215" s="14">
        <v>2</v>
      </c>
      <c r="F215" s="14" t="s">
        <v>13</v>
      </c>
      <c r="G215" s="14" t="s">
        <v>14</v>
      </c>
      <c r="H215" s="14">
        <v>1</v>
      </c>
      <c r="I215" s="12"/>
    </row>
    <row r="216" spans="1:9" x14ac:dyDescent="0.3">
      <c r="A216" s="13" t="s">
        <v>165</v>
      </c>
      <c r="B216" s="14">
        <f t="shared" ref="B216" si="94">B214+1</f>
        <v>21</v>
      </c>
      <c r="C216" s="14" t="s">
        <v>206</v>
      </c>
      <c r="D216" s="14" t="s">
        <v>207</v>
      </c>
      <c r="E216" s="14">
        <v>1</v>
      </c>
      <c r="F216" s="14" t="s">
        <v>11</v>
      </c>
      <c r="G216" s="14" t="s">
        <v>12</v>
      </c>
      <c r="H216" s="14">
        <v>1</v>
      </c>
      <c r="I216" s="12"/>
    </row>
    <row r="217" spans="1:9" x14ac:dyDescent="0.3">
      <c r="A217" s="13" t="s">
        <v>165</v>
      </c>
      <c r="B217" s="14">
        <f t="shared" ref="B217" si="95">B216</f>
        <v>21</v>
      </c>
      <c r="C217" s="14" t="s">
        <v>206</v>
      </c>
      <c r="D217" s="14" t="s">
        <v>207</v>
      </c>
      <c r="E217" s="14">
        <v>2</v>
      </c>
      <c r="F217" s="14" t="s">
        <v>13</v>
      </c>
      <c r="G217" s="14" t="s">
        <v>14</v>
      </c>
      <c r="H217" s="14">
        <v>1</v>
      </c>
      <c r="I217" s="12"/>
    </row>
    <row r="218" spans="1:9" x14ac:dyDescent="0.3">
      <c r="A218" s="13" t="s">
        <v>165</v>
      </c>
      <c r="B218" s="14">
        <f t="shared" si="82"/>
        <v>22</v>
      </c>
      <c r="C218" s="14" t="s">
        <v>208</v>
      </c>
      <c r="D218" s="14" t="s">
        <v>209</v>
      </c>
      <c r="E218" s="14">
        <v>1</v>
      </c>
      <c r="F218" s="14" t="s">
        <v>11</v>
      </c>
      <c r="G218" s="14" t="s">
        <v>12</v>
      </c>
      <c r="H218" s="14">
        <v>1</v>
      </c>
      <c r="I218" s="12"/>
    </row>
    <row r="219" spans="1:9" x14ac:dyDescent="0.3">
      <c r="A219" s="13" t="s">
        <v>165</v>
      </c>
      <c r="B219" s="14">
        <f t="shared" si="83"/>
        <v>22</v>
      </c>
      <c r="C219" s="14" t="s">
        <v>208</v>
      </c>
      <c r="D219" s="14" t="s">
        <v>209</v>
      </c>
      <c r="E219" s="14">
        <v>2</v>
      </c>
      <c r="F219" s="14" t="s">
        <v>13</v>
      </c>
      <c r="G219" s="14" t="s">
        <v>14</v>
      </c>
      <c r="H219" s="14">
        <v>1</v>
      </c>
      <c r="I219" s="12"/>
    </row>
    <row r="220" spans="1:9" x14ac:dyDescent="0.3">
      <c r="A220" s="13" t="s">
        <v>165</v>
      </c>
      <c r="B220" s="14">
        <f t="shared" si="84"/>
        <v>23</v>
      </c>
      <c r="C220" s="14" t="s">
        <v>210</v>
      </c>
      <c r="D220" s="14" t="s">
        <v>211</v>
      </c>
      <c r="E220" s="14">
        <v>1</v>
      </c>
      <c r="F220" s="14" t="s">
        <v>11</v>
      </c>
      <c r="G220" s="14" t="s">
        <v>12</v>
      </c>
      <c r="H220" s="14">
        <v>1</v>
      </c>
      <c r="I220" s="12"/>
    </row>
    <row r="221" spans="1:9" x14ac:dyDescent="0.3">
      <c r="A221" s="13" t="s">
        <v>165</v>
      </c>
      <c r="B221" s="14">
        <f t="shared" si="85"/>
        <v>23</v>
      </c>
      <c r="C221" s="14" t="s">
        <v>210</v>
      </c>
      <c r="D221" s="14" t="s">
        <v>211</v>
      </c>
      <c r="E221" s="14">
        <v>2</v>
      </c>
      <c r="F221" s="14" t="s">
        <v>13</v>
      </c>
      <c r="G221" s="14" t="s">
        <v>14</v>
      </c>
      <c r="H221" s="14">
        <v>1</v>
      </c>
      <c r="I221" s="12"/>
    </row>
    <row r="222" spans="1:9" x14ac:dyDescent="0.3">
      <c r="A222" s="13" t="s">
        <v>165</v>
      </c>
      <c r="B222" s="14">
        <f t="shared" si="86"/>
        <v>24</v>
      </c>
      <c r="C222" s="14" t="s">
        <v>212</v>
      </c>
      <c r="D222" s="14" t="s">
        <v>213</v>
      </c>
      <c r="E222" s="14">
        <v>1</v>
      </c>
      <c r="F222" s="14" t="s">
        <v>11</v>
      </c>
      <c r="G222" s="14" t="s">
        <v>12</v>
      </c>
      <c r="H222" s="14">
        <v>1</v>
      </c>
      <c r="I222" s="12"/>
    </row>
    <row r="223" spans="1:9" x14ac:dyDescent="0.3">
      <c r="A223" s="13" t="s">
        <v>165</v>
      </c>
      <c r="B223" s="14">
        <f t="shared" si="87"/>
        <v>24</v>
      </c>
      <c r="C223" s="14" t="s">
        <v>212</v>
      </c>
      <c r="D223" s="14" t="s">
        <v>213</v>
      </c>
      <c r="E223" s="14">
        <v>2</v>
      </c>
      <c r="F223" s="14" t="s">
        <v>13</v>
      </c>
      <c r="G223" s="14" t="s">
        <v>14</v>
      </c>
      <c r="H223" s="14">
        <v>1</v>
      </c>
      <c r="I223" s="12"/>
    </row>
    <row r="224" spans="1:9" x14ac:dyDescent="0.3">
      <c r="A224" s="13" t="s">
        <v>165</v>
      </c>
      <c r="B224" s="14">
        <f t="shared" ref="B224" si="96">B222+1</f>
        <v>25</v>
      </c>
      <c r="C224" s="14" t="s">
        <v>214</v>
      </c>
      <c r="D224" s="14" t="s">
        <v>215</v>
      </c>
      <c r="E224" s="14">
        <v>1</v>
      </c>
      <c r="F224" s="14" t="s">
        <v>11</v>
      </c>
      <c r="G224" s="14" t="s">
        <v>12</v>
      </c>
      <c r="H224" s="14">
        <v>1</v>
      </c>
      <c r="I224" s="12"/>
    </row>
    <row r="225" spans="1:9" x14ac:dyDescent="0.3">
      <c r="A225" s="13" t="s">
        <v>165</v>
      </c>
      <c r="B225" s="14">
        <f t="shared" ref="B225" si="97">B224</f>
        <v>25</v>
      </c>
      <c r="C225" s="14" t="s">
        <v>214</v>
      </c>
      <c r="D225" s="14" t="s">
        <v>215</v>
      </c>
      <c r="E225" s="14">
        <v>2</v>
      </c>
      <c r="F225" s="14" t="s">
        <v>13</v>
      </c>
      <c r="G225" s="14" t="s">
        <v>14</v>
      </c>
      <c r="H225" s="14">
        <v>1</v>
      </c>
      <c r="I225" s="12"/>
    </row>
    <row r="226" spans="1:9" x14ac:dyDescent="0.3">
      <c r="A226" s="7" t="s">
        <v>216</v>
      </c>
      <c r="B226" s="8">
        <v>1</v>
      </c>
      <c r="C226" s="8" t="s">
        <v>217</v>
      </c>
      <c r="D226" s="8" t="s">
        <v>218</v>
      </c>
      <c r="E226" s="8">
        <v>1</v>
      </c>
      <c r="F226" s="8" t="s">
        <v>11</v>
      </c>
      <c r="G226" s="8" t="s">
        <v>12</v>
      </c>
      <c r="H226" s="8">
        <v>1</v>
      </c>
      <c r="I226" s="12"/>
    </row>
    <row r="227" spans="1:9" x14ac:dyDescent="0.3">
      <c r="A227" s="7" t="s">
        <v>216</v>
      </c>
      <c r="B227" s="8">
        <f t="shared" si="83"/>
        <v>1</v>
      </c>
      <c r="C227" s="8" t="s">
        <v>217</v>
      </c>
      <c r="D227" s="8" t="s">
        <v>218</v>
      </c>
      <c r="E227" s="8">
        <v>2</v>
      </c>
      <c r="F227" s="8" t="s">
        <v>13</v>
      </c>
      <c r="G227" s="8" t="s">
        <v>14</v>
      </c>
      <c r="H227" s="8">
        <v>1</v>
      </c>
      <c r="I227" s="12"/>
    </row>
    <row r="228" spans="1:9" x14ac:dyDescent="0.3">
      <c r="A228" s="7" t="s">
        <v>216</v>
      </c>
      <c r="B228" s="8">
        <f t="shared" si="84"/>
        <v>2</v>
      </c>
      <c r="C228" s="8" t="s">
        <v>219</v>
      </c>
      <c r="D228" s="8" t="s">
        <v>220</v>
      </c>
      <c r="E228" s="8">
        <v>1</v>
      </c>
      <c r="F228" s="8" t="s">
        <v>11</v>
      </c>
      <c r="G228" s="8" t="s">
        <v>12</v>
      </c>
      <c r="H228" s="8">
        <v>1</v>
      </c>
      <c r="I228" s="12"/>
    </row>
    <row r="229" spans="1:9" x14ac:dyDescent="0.3">
      <c r="A229" s="7" t="s">
        <v>216</v>
      </c>
      <c r="B229" s="8">
        <f t="shared" si="85"/>
        <v>2</v>
      </c>
      <c r="C229" s="8" t="s">
        <v>219</v>
      </c>
      <c r="D229" s="8" t="s">
        <v>220</v>
      </c>
      <c r="E229" s="8">
        <v>2</v>
      </c>
      <c r="F229" s="8" t="s">
        <v>13</v>
      </c>
      <c r="G229" s="8" t="s">
        <v>14</v>
      </c>
      <c r="H229" s="8">
        <v>1</v>
      </c>
      <c r="I229" s="12"/>
    </row>
    <row r="230" spans="1:9" x14ac:dyDescent="0.3">
      <c r="A230" s="7" t="s">
        <v>216</v>
      </c>
      <c r="B230" s="8">
        <f t="shared" si="86"/>
        <v>3</v>
      </c>
      <c r="C230" s="8" t="s">
        <v>221</v>
      </c>
      <c r="D230" s="8" t="s">
        <v>222</v>
      </c>
      <c r="E230" s="8">
        <v>1</v>
      </c>
      <c r="F230" s="8" t="s">
        <v>11</v>
      </c>
      <c r="G230" s="8" t="s">
        <v>12</v>
      </c>
      <c r="H230" s="8">
        <v>1</v>
      </c>
      <c r="I230" s="12"/>
    </row>
    <row r="231" spans="1:9" x14ac:dyDescent="0.3">
      <c r="A231" s="7" t="s">
        <v>216</v>
      </c>
      <c r="B231" s="8">
        <f t="shared" si="87"/>
        <v>3</v>
      </c>
      <c r="C231" s="8" t="s">
        <v>221</v>
      </c>
      <c r="D231" s="8" t="s">
        <v>222</v>
      </c>
      <c r="E231" s="8">
        <v>2</v>
      </c>
      <c r="F231" s="8" t="s">
        <v>13</v>
      </c>
      <c r="G231" s="8" t="s">
        <v>14</v>
      </c>
      <c r="H231" s="8">
        <v>1</v>
      </c>
      <c r="I231" s="12"/>
    </row>
    <row r="232" spans="1:9" x14ac:dyDescent="0.3">
      <c r="A232" s="7" t="s">
        <v>216</v>
      </c>
      <c r="B232" s="8">
        <f t="shared" ref="B232" si="98">B230+1</f>
        <v>4</v>
      </c>
      <c r="C232" s="8" t="s">
        <v>223</v>
      </c>
      <c r="D232" s="8" t="s">
        <v>224</v>
      </c>
      <c r="E232" s="8">
        <v>1</v>
      </c>
      <c r="F232" s="8" t="s">
        <v>11</v>
      </c>
      <c r="G232" s="8" t="s">
        <v>12</v>
      </c>
      <c r="H232" s="8">
        <v>1</v>
      </c>
      <c r="I232" s="12"/>
    </row>
    <row r="233" spans="1:9" x14ac:dyDescent="0.3">
      <c r="A233" s="7" t="s">
        <v>216</v>
      </c>
      <c r="B233" s="8">
        <f t="shared" ref="B233" si="99">B232</f>
        <v>4</v>
      </c>
      <c r="C233" s="8" t="s">
        <v>223</v>
      </c>
      <c r="D233" s="8" t="s">
        <v>224</v>
      </c>
      <c r="E233" s="8">
        <v>2</v>
      </c>
      <c r="F233" s="8" t="s">
        <v>13</v>
      </c>
      <c r="G233" s="8" t="s">
        <v>14</v>
      </c>
      <c r="H233" s="8">
        <v>1</v>
      </c>
      <c r="I233" s="12"/>
    </row>
    <row r="234" spans="1:9" x14ac:dyDescent="0.3">
      <c r="A234" s="7" t="s">
        <v>216</v>
      </c>
      <c r="B234" s="8">
        <f t="shared" si="82"/>
        <v>5</v>
      </c>
      <c r="C234" s="8" t="s">
        <v>225</v>
      </c>
      <c r="D234" s="8" t="s">
        <v>226</v>
      </c>
      <c r="E234" s="8">
        <v>1</v>
      </c>
      <c r="F234" s="8" t="s">
        <v>11</v>
      </c>
      <c r="G234" s="8" t="s">
        <v>12</v>
      </c>
      <c r="H234" s="8">
        <v>1</v>
      </c>
      <c r="I234" s="12"/>
    </row>
    <row r="235" spans="1:9" x14ac:dyDescent="0.3">
      <c r="A235" s="7" t="s">
        <v>216</v>
      </c>
      <c r="B235" s="8">
        <f t="shared" si="83"/>
        <v>5</v>
      </c>
      <c r="C235" s="8" t="s">
        <v>225</v>
      </c>
      <c r="D235" s="8" t="s">
        <v>226</v>
      </c>
      <c r="E235" s="8">
        <v>2</v>
      </c>
      <c r="F235" s="8" t="s">
        <v>13</v>
      </c>
      <c r="G235" s="8" t="s">
        <v>14</v>
      </c>
      <c r="H235" s="8">
        <v>1</v>
      </c>
      <c r="I235" s="12"/>
    </row>
    <row r="236" spans="1:9" x14ac:dyDescent="0.3">
      <c r="A236" s="7" t="s">
        <v>216</v>
      </c>
      <c r="B236" s="8">
        <f t="shared" si="84"/>
        <v>6</v>
      </c>
      <c r="C236" s="8" t="s">
        <v>227</v>
      </c>
      <c r="D236" s="8" t="s">
        <v>228</v>
      </c>
      <c r="E236" s="8">
        <v>1</v>
      </c>
      <c r="F236" s="8" t="s">
        <v>11</v>
      </c>
      <c r="G236" s="8" t="s">
        <v>12</v>
      </c>
      <c r="H236" s="8">
        <v>1</v>
      </c>
      <c r="I236" s="12"/>
    </row>
    <row r="237" spans="1:9" x14ac:dyDescent="0.3">
      <c r="A237" s="7" t="s">
        <v>216</v>
      </c>
      <c r="B237" s="8">
        <f t="shared" si="85"/>
        <v>6</v>
      </c>
      <c r="C237" s="8" t="s">
        <v>227</v>
      </c>
      <c r="D237" s="8" t="s">
        <v>228</v>
      </c>
      <c r="E237" s="8">
        <v>2</v>
      </c>
      <c r="F237" s="8" t="s">
        <v>13</v>
      </c>
      <c r="G237" s="8" t="s">
        <v>14</v>
      </c>
      <c r="H237" s="8">
        <v>1</v>
      </c>
      <c r="I237" s="12"/>
    </row>
    <row r="238" spans="1:9" x14ac:dyDescent="0.3">
      <c r="A238" s="7" t="s">
        <v>216</v>
      </c>
      <c r="B238" s="8">
        <f t="shared" si="86"/>
        <v>7</v>
      </c>
      <c r="C238" s="8" t="s">
        <v>229</v>
      </c>
      <c r="D238" s="8" t="s">
        <v>230</v>
      </c>
      <c r="E238" s="8">
        <v>1</v>
      </c>
      <c r="F238" s="8" t="s">
        <v>11</v>
      </c>
      <c r="G238" s="8" t="s">
        <v>12</v>
      </c>
      <c r="H238" s="8">
        <v>1</v>
      </c>
      <c r="I238" s="12"/>
    </row>
    <row r="239" spans="1:9" x14ac:dyDescent="0.3">
      <c r="A239" s="7" t="s">
        <v>216</v>
      </c>
      <c r="B239" s="8">
        <f t="shared" si="87"/>
        <v>7</v>
      </c>
      <c r="C239" s="8" t="s">
        <v>229</v>
      </c>
      <c r="D239" s="8" t="s">
        <v>230</v>
      </c>
      <c r="E239" s="8">
        <v>2</v>
      </c>
      <c r="F239" s="8" t="s">
        <v>13</v>
      </c>
      <c r="G239" s="8" t="s">
        <v>14</v>
      </c>
      <c r="H239" s="8">
        <v>1</v>
      </c>
      <c r="I239" s="12"/>
    </row>
    <row r="240" spans="1:9" x14ac:dyDescent="0.3">
      <c r="A240" s="7" t="s">
        <v>216</v>
      </c>
      <c r="B240" s="8">
        <f t="shared" ref="B240" si="100">B238+1</f>
        <v>8</v>
      </c>
      <c r="C240" s="8" t="s">
        <v>231</v>
      </c>
      <c r="D240" s="8" t="s">
        <v>232</v>
      </c>
      <c r="E240" s="8">
        <v>1</v>
      </c>
      <c r="F240" s="8" t="s">
        <v>11</v>
      </c>
      <c r="G240" s="8" t="s">
        <v>12</v>
      </c>
      <c r="H240" s="8">
        <v>1</v>
      </c>
      <c r="I240" s="12"/>
    </row>
    <row r="241" spans="1:9" x14ac:dyDescent="0.3">
      <c r="A241" s="7" t="s">
        <v>216</v>
      </c>
      <c r="B241" s="8">
        <f t="shared" ref="B241" si="101">B240</f>
        <v>8</v>
      </c>
      <c r="C241" s="8" t="s">
        <v>231</v>
      </c>
      <c r="D241" s="8" t="s">
        <v>232</v>
      </c>
      <c r="E241" s="8">
        <v>2</v>
      </c>
      <c r="F241" s="8" t="s">
        <v>13</v>
      </c>
      <c r="G241" s="8" t="s">
        <v>14</v>
      </c>
      <c r="H241" s="8">
        <v>1</v>
      </c>
      <c r="I241" s="12"/>
    </row>
    <row r="242" spans="1:9" x14ac:dyDescent="0.3">
      <c r="A242" s="7" t="s">
        <v>216</v>
      </c>
      <c r="B242" s="8">
        <f t="shared" si="82"/>
        <v>9</v>
      </c>
      <c r="C242" s="8" t="s">
        <v>233</v>
      </c>
      <c r="D242" s="8" t="s">
        <v>234</v>
      </c>
      <c r="E242" s="8">
        <v>1</v>
      </c>
      <c r="F242" s="8" t="s">
        <v>11</v>
      </c>
      <c r="G242" s="8" t="s">
        <v>12</v>
      </c>
      <c r="H242" s="8">
        <v>1</v>
      </c>
      <c r="I242" s="12"/>
    </row>
    <row r="243" spans="1:9" x14ac:dyDescent="0.3">
      <c r="A243" s="7" t="s">
        <v>216</v>
      </c>
      <c r="B243" s="8">
        <f t="shared" si="83"/>
        <v>9</v>
      </c>
      <c r="C243" s="8" t="s">
        <v>233</v>
      </c>
      <c r="D243" s="8" t="s">
        <v>234</v>
      </c>
      <c r="E243" s="8">
        <v>2</v>
      </c>
      <c r="F243" s="8" t="s">
        <v>13</v>
      </c>
      <c r="G243" s="8" t="s">
        <v>14</v>
      </c>
      <c r="H243" s="8">
        <v>1</v>
      </c>
      <c r="I243" s="12"/>
    </row>
    <row r="244" spans="1:9" x14ac:dyDescent="0.3">
      <c r="A244" s="7" t="s">
        <v>216</v>
      </c>
      <c r="B244" s="8">
        <f t="shared" si="84"/>
        <v>10</v>
      </c>
      <c r="C244" s="8" t="s">
        <v>235</v>
      </c>
      <c r="D244" s="8" t="s">
        <v>236</v>
      </c>
      <c r="E244" s="8">
        <v>1</v>
      </c>
      <c r="F244" s="8" t="s">
        <v>11</v>
      </c>
      <c r="G244" s="8" t="s">
        <v>12</v>
      </c>
      <c r="H244" s="8">
        <v>1</v>
      </c>
      <c r="I244" s="12"/>
    </row>
    <row r="245" spans="1:9" x14ac:dyDescent="0.3">
      <c r="A245" s="7" t="s">
        <v>216</v>
      </c>
      <c r="B245" s="8">
        <f t="shared" si="85"/>
        <v>10</v>
      </c>
      <c r="C245" s="8" t="s">
        <v>235</v>
      </c>
      <c r="D245" s="8" t="s">
        <v>236</v>
      </c>
      <c r="E245" s="8">
        <v>2</v>
      </c>
      <c r="F245" s="8" t="s">
        <v>13</v>
      </c>
      <c r="G245" s="8" t="s">
        <v>14</v>
      </c>
      <c r="H245" s="8">
        <v>1</v>
      </c>
      <c r="I245" s="12"/>
    </row>
    <row r="246" spans="1:9" x14ac:dyDescent="0.3">
      <c r="A246" s="7" t="s">
        <v>216</v>
      </c>
      <c r="B246" s="8">
        <f t="shared" si="86"/>
        <v>11</v>
      </c>
      <c r="C246" s="8" t="s">
        <v>237</v>
      </c>
      <c r="D246" s="8" t="s">
        <v>238</v>
      </c>
      <c r="E246" s="8">
        <v>1</v>
      </c>
      <c r="F246" s="8" t="s">
        <v>11</v>
      </c>
      <c r="G246" s="8" t="s">
        <v>12</v>
      </c>
      <c r="H246" s="8">
        <v>1</v>
      </c>
      <c r="I246" s="12"/>
    </row>
    <row r="247" spans="1:9" x14ac:dyDescent="0.3">
      <c r="A247" s="7" t="s">
        <v>216</v>
      </c>
      <c r="B247" s="8">
        <f t="shared" si="87"/>
        <v>11</v>
      </c>
      <c r="C247" s="8" t="s">
        <v>237</v>
      </c>
      <c r="D247" s="8" t="s">
        <v>238</v>
      </c>
      <c r="E247" s="8">
        <v>2</v>
      </c>
      <c r="F247" s="8" t="s">
        <v>13</v>
      </c>
      <c r="G247" s="8" t="s">
        <v>14</v>
      </c>
      <c r="H247" s="8">
        <v>17</v>
      </c>
      <c r="I247" s="12"/>
    </row>
    <row r="248" spans="1:9" x14ac:dyDescent="0.3">
      <c r="A248" s="7" t="s">
        <v>216</v>
      </c>
      <c r="B248" s="8">
        <f t="shared" ref="B248" si="102">B246+1</f>
        <v>12</v>
      </c>
      <c r="C248" s="8" t="s">
        <v>239</v>
      </c>
      <c r="D248" s="8" t="s">
        <v>240</v>
      </c>
      <c r="E248" s="8">
        <v>1</v>
      </c>
      <c r="F248" s="8" t="s">
        <v>11</v>
      </c>
      <c r="G248" s="8" t="s">
        <v>12</v>
      </c>
      <c r="H248" s="8">
        <v>1</v>
      </c>
      <c r="I248" s="12"/>
    </row>
    <row r="249" spans="1:9" x14ac:dyDescent="0.3">
      <c r="A249" s="7" t="s">
        <v>216</v>
      </c>
      <c r="B249" s="8">
        <f t="shared" ref="B249" si="103">B248</f>
        <v>12</v>
      </c>
      <c r="C249" s="8" t="s">
        <v>239</v>
      </c>
      <c r="D249" s="8" t="s">
        <v>240</v>
      </c>
      <c r="E249" s="8">
        <v>2</v>
      </c>
      <c r="F249" s="8" t="s">
        <v>13</v>
      </c>
      <c r="G249" s="8" t="s">
        <v>14</v>
      </c>
      <c r="H249" s="8">
        <v>17</v>
      </c>
      <c r="I249" s="12"/>
    </row>
    <row r="250" spans="1:9" x14ac:dyDescent="0.3">
      <c r="A250" s="7" t="s">
        <v>216</v>
      </c>
      <c r="B250" s="8">
        <f t="shared" ref="B250:B306" si="104">B248+1</f>
        <v>13</v>
      </c>
      <c r="C250" s="8" t="s">
        <v>241</v>
      </c>
      <c r="D250" s="8" t="s">
        <v>242</v>
      </c>
      <c r="E250" s="8">
        <v>1</v>
      </c>
      <c r="F250" s="8" t="s">
        <v>11</v>
      </c>
      <c r="G250" s="8" t="s">
        <v>12</v>
      </c>
      <c r="H250" s="8">
        <v>1</v>
      </c>
      <c r="I250" s="12"/>
    </row>
    <row r="251" spans="1:9" x14ac:dyDescent="0.3">
      <c r="A251" s="7" t="s">
        <v>216</v>
      </c>
      <c r="B251" s="8">
        <f t="shared" ref="B251:B307" si="105">B250</f>
        <v>13</v>
      </c>
      <c r="C251" s="8" t="s">
        <v>241</v>
      </c>
      <c r="D251" s="8" t="s">
        <v>242</v>
      </c>
      <c r="E251" s="8">
        <v>2</v>
      </c>
      <c r="F251" s="8" t="s">
        <v>13</v>
      </c>
      <c r="G251" s="8" t="s">
        <v>14</v>
      </c>
      <c r="H251" s="8">
        <v>17</v>
      </c>
      <c r="I251" s="19" t="s">
        <v>243</v>
      </c>
    </row>
    <row r="252" spans="1:9" x14ac:dyDescent="0.3">
      <c r="A252" s="7" t="s">
        <v>216</v>
      </c>
      <c r="B252" s="8">
        <f t="shared" ref="B252:B308" si="106">B250+1</f>
        <v>14</v>
      </c>
      <c r="C252" s="8" t="s">
        <v>244</v>
      </c>
      <c r="D252" s="8" t="s">
        <v>245</v>
      </c>
      <c r="E252" s="8">
        <v>1</v>
      </c>
      <c r="F252" s="8" t="s">
        <v>11</v>
      </c>
      <c r="G252" s="8" t="s">
        <v>12</v>
      </c>
      <c r="H252" s="8">
        <v>1</v>
      </c>
      <c r="I252" s="12"/>
    </row>
    <row r="253" spans="1:9" x14ac:dyDescent="0.3">
      <c r="A253" s="7" t="s">
        <v>216</v>
      </c>
      <c r="B253" s="8">
        <f t="shared" ref="B253:B309" si="107">B252</f>
        <v>14</v>
      </c>
      <c r="C253" s="8" t="s">
        <v>244</v>
      </c>
      <c r="D253" s="8" t="s">
        <v>245</v>
      </c>
      <c r="E253" s="8">
        <v>2</v>
      </c>
      <c r="F253" s="8" t="s">
        <v>13</v>
      </c>
      <c r="G253" s="8" t="s">
        <v>14</v>
      </c>
      <c r="H253" s="8">
        <v>17</v>
      </c>
      <c r="I253" s="12"/>
    </row>
    <row r="254" spans="1:9" x14ac:dyDescent="0.3">
      <c r="A254" s="7" t="s">
        <v>216</v>
      </c>
      <c r="B254" s="8">
        <f t="shared" ref="B254:B310" si="108">B252+1</f>
        <v>15</v>
      </c>
      <c r="C254" s="8" t="s">
        <v>246</v>
      </c>
      <c r="D254" s="8" t="s">
        <v>247</v>
      </c>
      <c r="E254" s="8">
        <v>1</v>
      </c>
      <c r="F254" s="8" t="s">
        <v>11</v>
      </c>
      <c r="G254" s="8" t="s">
        <v>12</v>
      </c>
      <c r="H254" s="8">
        <v>1</v>
      </c>
      <c r="I254" s="12"/>
    </row>
    <row r="255" spans="1:9" x14ac:dyDescent="0.3">
      <c r="A255" s="7" t="s">
        <v>216</v>
      </c>
      <c r="B255" s="8">
        <f t="shared" ref="B255:B311" si="109">B254</f>
        <v>15</v>
      </c>
      <c r="C255" s="8" t="s">
        <v>246</v>
      </c>
      <c r="D255" s="8" t="s">
        <v>247</v>
      </c>
      <c r="E255" s="8">
        <v>2</v>
      </c>
      <c r="F255" s="8" t="s">
        <v>13</v>
      </c>
      <c r="G255" s="8" t="s">
        <v>14</v>
      </c>
      <c r="H255" s="8">
        <v>17</v>
      </c>
      <c r="I255" s="19" t="s">
        <v>243</v>
      </c>
    </row>
    <row r="256" spans="1:9" x14ac:dyDescent="0.3">
      <c r="A256" s="7" t="s">
        <v>216</v>
      </c>
      <c r="B256" s="8">
        <f t="shared" ref="B256" si="110">B254+1</f>
        <v>16</v>
      </c>
      <c r="C256" s="8" t="s">
        <v>248</v>
      </c>
      <c r="D256" s="8" t="s">
        <v>249</v>
      </c>
      <c r="E256" s="8">
        <v>1</v>
      </c>
      <c r="F256" s="8" t="s">
        <v>11</v>
      </c>
      <c r="G256" s="8" t="s">
        <v>12</v>
      </c>
      <c r="H256" s="8">
        <v>1</v>
      </c>
      <c r="I256" s="12"/>
    </row>
    <row r="257" spans="1:9" x14ac:dyDescent="0.3">
      <c r="A257" s="7" t="s">
        <v>216</v>
      </c>
      <c r="B257" s="8">
        <f t="shared" ref="B257" si="111">B256</f>
        <v>16</v>
      </c>
      <c r="C257" s="8" t="s">
        <v>248</v>
      </c>
      <c r="D257" s="8" t="s">
        <v>249</v>
      </c>
      <c r="E257" s="8">
        <v>2</v>
      </c>
      <c r="F257" s="8" t="s">
        <v>13</v>
      </c>
      <c r="G257" s="8" t="s">
        <v>14</v>
      </c>
      <c r="H257" s="8">
        <v>14</v>
      </c>
      <c r="I257" s="12"/>
    </row>
    <row r="258" spans="1:9" x14ac:dyDescent="0.3">
      <c r="A258" s="7" t="s">
        <v>216</v>
      </c>
      <c r="B258" s="8">
        <f t="shared" si="104"/>
        <v>17</v>
      </c>
      <c r="C258" s="8" t="s">
        <v>250</v>
      </c>
      <c r="D258" s="8" t="s">
        <v>251</v>
      </c>
      <c r="E258" s="8">
        <v>1</v>
      </c>
      <c r="F258" s="8" t="s">
        <v>11</v>
      </c>
      <c r="G258" s="8" t="s">
        <v>12</v>
      </c>
      <c r="H258" s="8">
        <v>1</v>
      </c>
      <c r="I258" s="12"/>
    </row>
    <row r="259" spans="1:9" x14ac:dyDescent="0.3">
      <c r="A259" s="7" t="s">
        <v>216</v>
      </c>
      <c r="B259" s="8">
        <f t="shared" si="105"/>
        <v>17</v>
      </c>
      <c r="C259" s="8" t="s">
        <v>250</v>
      </c>
      <c r="D259" s="8" t="s">
        <v>251</v>
      </c>
      <c r="E259" s="8">
        <v>2</v>
      </c>
      <c r="F259" s="8" t="s">
        <v>13</v>
      </c>
      <c r="G259" s="8" t="s">
        <v>14</v>
      </c>
      <c r="H259" s="8">
        <v>14</v>
      </c>
      <c r="I259" s="12"/>
    </row>
    <row r="260" spans="1:9" x14ac:dyDescent="0.3">
      <c r="A260" s="7" t="s">
        <v>216</v>
      </c>
      <c r="B260" s="8">
        <f t="shared" si="106"/>
        <v>18</v>
      </c>
      <c r="C260" s="8" t="s">
        <v>252</v>
      </c>
      <c r="D260" s="8" t="s">
        <v>253</v>
      </c>
      <c r="E260" s="8">
        <v>1</v>
      </c>
      <c r="F260" s="8" t="s">
        <v>11</v>
      </c>
      <c r="G260" s="8" t="s">
        <v>12</v>
      </c>
      <c r="H260" s="8">
        <v>1</v>
      </c>
      <c r="I260" s="12"/>
    </row>
    <row r="261" spans="1:9" x14ac:dyDescent="0.3">
      <c r="A261" s="7" t="s">
        <v>216</v>
      </c>
      <c r="B261" s="8">
        <f t="shared" si="107"/>
        <v>18</v>
      </c>
      <c r="C261" s="8" t="s">
        <v>252</v>
      </c>
      <c r="D261" s="8" t="s">
        <v>253</v>
      </c>
      <c r="E261" s="8">
        <v>2</v>
      </c>
      <c r="F261" s="8" t="s">
        <v>13</v>
      </c>
      <c r="G261" s="8" t="s">
        <v>14</v>
      </c>
      <c r="H261" s="8">
        <v>14</v>
      </c>
      <c r="I261" s="12"/>
    </row>
    <row r="262" spans="1:9" x14ac:dyDescent="0.3">
      <c r="A262" s="7" t="s">
        <v>216</v>
      </c>
      <c r="B262" s="8">
        <f t="shared" si="108"/>
        <v>19</v>
      </c>
      <c r="C262" s="8" t="s">
        <v>254</v>
      </c>
      <c r="D262" s="8" t="s">
        <v>255</v>
      </c>
      <c r="E262" s="8">
        <v>1</v>
      </c>
      <c r="F262" s="8" t="s">
        <v>11</v>
      </c>
      <c r="G262" s="8" t="s">
        <v>12</v>
      </c>
      <c r="H262" s="8">
        <v>1</v>
      </c>
      <c r="I262" s="12"/>
    </row>
    <row r="263" spans="1:9" x14ac:dyDescent="0.3">
      <c r="A263" s="7" t="s">
        <v>216</v>
      </c>
      <c r="B263" s="8">
        <f t="shared" si="109"/>
        <v>19</v>
      </c>
      <c r="C263" s="8" t="s">
        <v>254</v>
      </c>
      <c r="D263" s="8" t="s">
        <v>255</v>
      </c>
      <c r="E263" s="8">
        <v>2</v>
      </c>
      <c r="F263" s="8" t="s">
        <v>13</v>
      </c>
      <c r="G263" s="8" t="s">
        <v>14</v>
      </c>
      <c r="H263" s="8">
        <v>15</v>
      </c>
      <c r="I263" s="12"/>
    </row>
    <row r="264" spans="1:9" x14ac:dyDescent="0.3">
      <c r="A264" s="7" t="s">
        <v>216</v>
      </c>
      <c r="B264" s="8">
        <f t="shared" ref="B264" si="112">B262+1</f>
        <v>20</v>
      </c>
      <c r="C264" s="8" t="s">
        <v>256</v>
      </c>
      <c r="D264" s="8" t="s">
        <v>257</v>
      </c>
      <c r="E264" s="8">
        <v>1</v>
      </c>
      <c r="F264" s="8" t="s">
        <v>11</v>
      </c>
      <c r="G264" s="8" t="s">
        <v>12</v>
      </c>
      <c r="H264" s="8">
        <v>1</v>
      </c>
      <c r="I264" s="12"/>
    </row>
    <row r="265" spans="1:9" x14ac:dyDescent="0.3">
      <c r="A265" s="7" t="s">
        <v>216</v>
      </c>
      <c r="B265" s="8">
        <f t="shared" ref="B265" si="113">B264</f>
        <v>20</v>
      </c>
      <c r="C265" s="8" t="s">
        <v>256</v>
      </c>
      <c r="D265" s="8" t="s">
        <v>257</v>
      </c>
      <c r="E265" s="8">
        <v>2</v>
      </c>
      <c r="F265" s="8" t="s">
        <v>13</v>
      </c>
      <c r="G265" s="8" t="s">
        <v>14</v>
      </c>
      <c r="H265" s="8">
        <v>12</v>
      </c>
      <c r="I265" s="12"/>
    </row>
    <row r="266" spans="1:9" x14ac:dyDescent="0.3">
      <c r="A266" s="7" t="s">
        <v>216</v>
      </c>
      <c r="B266" s="8">
        <f t="shared" si="104"/>
        <v>21</v>
      </c>
      <c r="C266" s="8" t="s">
        <v>258</v>
      </c>
      <c r="D266" s="8" t="s">
        <v>259</v>
      </c>
      <c r="E266" s="8">
        <v>1</v>
      </c>
      <c r="F266" s="8" t="s">
        <v>11</v>
      </c>
      <c r="G266" s="8" t="s">
        <v>12</v>
      </c>
      <c r="H266" s="8">
        <v>1</v>
      </c>
      <c r="I266" s="12"/>
    </row>
    <row r="267" spans="1:9" x14ac:dyDescent="0.3">
      <c r="A267" s="7" t="s">
        <v>216</v>
      </c>
      <c r="B267" s="8">
        <f t="shared" si="105"/>
        <v>21</v>
      </c>
      <c r="C267" s="8" t="s">
        <v>258</v>
      </c>
      <c r="D267" s="8" t="s">
        <v>259</v>
      </c>
      <c r="E267" s="8">
        <v>2</v>
      </c>
      <c r="F267" s="8" t="s">
        <v>13</v>
      </c>
      <c r="G267" s="8" t="s">
        <v>14</v>
      </c>
      <c r="H267" s="8">
        <v>14</v>
      </c>
      <c r="I267" s="12"/>
    </row>
    <row r="268" spans="1:9" x14ac:dyDescent="0.3">
      <c r="A268" s="7" t="s">
        <v>216</v>
      </c>
      <c r="B268" s="8">
        <f t="shared" si="106"/>
        <v>22</v>
      </c>
      <c r="C268" s="8" t="s">
        <v>260</v>
      </c>
      <c r="D268" s="8" t="s">
        <v>261</v>
      </c>
      <c r="E268" s="8">
        <v>1</v>
      </c>
      <c r="F268" s="8" t="s">
        <v>11</v>
      </c>
      <c r="G268" s="8" t="s">
        <v>12</v>
      </c>
      <c r="H268" s="8">
        <v>1</v>
      </c>
      <c r="I268" s="12"/>
    </row>
    <row r="269" spans="1:9" x14ac:dyDescent="0.3">
      <c r="A269" s="7" t="s">
        <v>216</v>
      </c>
      <c r="B269" s="8">
        <f t="shared" si="107"/>
        <v>22</v>
      </c>
      <c r="C269" s="8" t="s">
        <v>260</v>
      </c>
      <c r="D269" s="8" t="s">
        <v>261</v>
      </c>
      <c r="E269" s="8">
        <v>2</v>
      </c>
      <c r="F269" s="8" t="s">
        <v>13</v>
      </c>
      <c r="G269" s="8" t="s">
        <v>14</v>
      </c>
      <c r="H269" s="8">
        <v>14</v>
      </c>
      <c r="I269" s="12"/>
    </row>
    <row r="270" spans="1:9" x14ac:dyDescent="0.3">
      <c r="A270" s="7" t="s">
        <v>216</v>
      </c>
      <c r="B270" s="8">
        <f t="shared" si="108"/>
        <v>23</v>
      </c>
      <c r="C270" s="8" t="s">
        <v>262</v>
      </c>
      <c r="D270" s="8" t="s">
        <v>263</v>
      </c>
      <c r="E270" s="8">
        <v>1</v>
      </c>
      <c r="F270" s="8" t="s">
        <v>11</v>
      </c>
      <c r="G270" s="8" t="s">
        <v>12</v>
      </c>
      <c r="H270" s="8">
        <v>1</v>
      </c>
      <c r="I270" s="12"/>
    </row>
    <row r="271" spans="1:9" x14ac:dyDescent="0.3">
      <c r="A271" s="7" t="s">
        <v>216</v>
      </c>
      <c r="B271" s="8">
        <f t="shared" si="109"/>
        <v>23</v>
      </c>
      <c r="C271" s="8" t="s">
        <v>262</v>
      </c>
      <c r="D271" s="8" t="s">
        <v>263</v>
      </c>
      <c r="E271" s="8">
        <v>2</v>
      </c>
      <c r="F271" s="8" t="s">
        <v>13</v>
      </c>
      <c r="G271" s="8" t="s">
        <v>14</v>
      </c>
      <c r="H271" s="8">
        <v>14</v>
      </c>
      <c r="I271" s="12"/>
    </row>
    <row r="272" spans="1:9" x14ac:dyDescent="0.3">
      <c r="A272" s="7" t="s">
        <v>216</v>
      </c>
      <c r="B272" s="8">
        <f t="shared" ref="B272" si="114">B270+1</f>
        <v>24</v>
      </c>
      <c r="C272" s="8" t="s">
        <v>264</v>
      </c>
      <c r="D272" s="8" t="s">
        <v>265</v>
      </c>
      <c r="E272" s="8">
        <v>1</v>
      </c>
      <c r="F272" s="8" t="s">
        <v>11</v>
      </c>
      <c r="G272" s="8" t="s">
        <v>12</v>
      </c>
      <c r="H272" s="8">
        <v>1</v>
      </c>
      <c r="I272" s="12"/>
    </row>
    <row r="273" spans="1:9" x14ac:dyDescent="0.3">
      <c r="A273" s="7" t="s">
        <v>216</v>
      </c>
      <c r="B273" s="8">
        <f t="shared" ref="B273" si="115">B272</f>
        <v>24</v>
      </c>
      <c r="C273" s="8" t="s">
        <v>264</v>
      </c>
      <c r="D273" s="8" t="s">
        <v>265</v>
      </c>
      <c r="E273" s="8">
        <v>2</v>
      </c>
      <c r="F273" s="8" t="s">
        <v>13</v>
      </c>
      <c r="G273" s="8" t="s">
        <v>14</v>
      </c>
      <c r="H273" s="8">
        <v>15</v>
      </c>
      <c r="I273" s="12"/>
    </row>
    <row r="274" spans="1:9" x14ac:dyDescent="0.3">
      <c r="A274" s="7" t="s">
        <v>216</v>
      </c>
      <c r="B274" s="8">
        <f t="shared" si="104"/>
        <v>25</v>
      </c>
      <c r="C274" s="8" t="s">
        <v>266</v>
      </c>
      <c r="D274" s="8" t="s">
        <v>267</v>
      </c>
      <c r="E274" s="8">
        <v>1</v>
      </c>
      <c r="F274" s="8" t="s">
        <v>11</v>
      </c>
      <c r="G274" s="8" t="s">
        <v>12</v>
      </c>
      <c r="H274" s="8">
        <v>1</v>
      </c>
      <c r="I274" s="12"/>
    </row>
    <row r="275" spans="1:9" x14ac:dyDescent="0.3">
      <c r="A275" s="7" t="s">
        <v>216</v>
      </c>
      <c r="B275" s="8">
        <f t="shared" si="105"/>
        <v>25</v>
      </c>
      <c r="C275" s="8" t="s">
        <v>266</v>
      </c>
      <c r="D275" s="8" t="s">
        <v>267</v>
      </c>
      <c r="E275" s="8">
        <v>2</v>
      </c>
      <c r="F275" s="8" t="s">
        <v>13</v>
      </c>
      <c r="G275" s="8" t="s">
        <v>14</v>
      </c>
      <c r="H275" s="8">
        <v>12</v>
      </c>
      <c r="I275" s="19" t="s">
        <v>243</v>
      </c>
    </row>
    <row r="276" spans="1:9" x14ac:dyDescent="0.3">
      <c r="A276" s="7" t="s">
        <v>216</v>
      </c>
      <c r="B276" s="8">
        <f t="shared" si="106"/>
        <v>26</v>
      </c>
      <c r="C276" s="8" t="s">
        <v>268</v>
      </c>
      <c r="D276" s="8" t="s">
        <v>269</v>
      </c>
      <c r="E276" s="8">
        <v>1</v>
      </c>
      <c r="F276" s="8" t="s">
        <v>11</v>
      </c>
      <c r="G276" s="8" t="s">
        <v>12</v>
      </c>
      <c r="H276" s="8">
        <v>1</v>
      </c>
      <c r="I276" s="12"/>
    </row>
    <row r="277" spans="1:9" x14ac:dyDescent="0.3">
      <c r="A277" s="7" t="s">
        <v>216</v>
      </c>
      <c r="B277" s="8">
        <f t="shared" si="107"/>
        <v>26</v>
      </c>
      <c r="C277" s="8" t="s">
        <v>268</v>
      </c>
      <c r="D277" s="8" t="s">
        <v>269</v>
      </c>
      <c r="E277" s="8">
        <v>2</v>
      </c>
      <c r="F277" s="8" t="s">
        <v>13</v>
      </c>
      <c r="G277" s="8" t="s">
        <v>14</v>
      </c>
      <c r="H277" s="8">
        <v>14</v>
      </c>
      <c r="I277" s="12"/>
    </row>
    <row r="278" spans="1:9" x14ac:dyDescent="0.3">
      <c r="A278" s="7" t="s">
        <v>216</v>
      </c>
      <c r="B278" s="8">
        <f t="shared" si="108"/>
        <v>27</v>
      </c>
      <c r="C278" s="8" t="s">
        <v>270</v>
      </c>
      <c r="D278" s="8" t="s">
        <v>271</v>
      </c>
      <c r="E278" s="8">
        <v>1</v>
      </c>
      <c r="F278" s="8" t="s">
        <v>11</v>
      </c>
      <c r="G278" s="8" t="s">
        <v>12</v>
      </c>
      <c r="H278" s="8">
        <v>1</v>
      </c>
      <c r="I278" s="12"/>
    </row>
    <row r="279" spans="1:9" x14ac:dyDescent="0.3">
      <c r="A279" s="7" t="s">
        <v>216</v>
      </c>
      <c r="B279" s="8">
        <f t="shared" si="109"/>
        <v>27</v>
      </c>
      <c r="C279" s="8" t="s">
        <v>270</v>
      </c>
      <c r="D279" s="8" t="s">
        <v>271</v>
      </c>
      <c r="E279" s="8">
        <v>2</v>
      </c>
      <c r="F279" s="8" t="s">
        <v>13</v>
      </c>
      <c r="G279" s="8" t="s">
        <v>14</v>
      </c>
      <c r="H279" s="8">
        <v>14</v>
      </c>
      <c r="I279" s="12"/>
    </row>
    <row r="280" spans="1:9" x14ac:dyDescent="0.3">
      <c r="A280" s="7" t="s">
        <v>216</v>
      </c>
      <c r="B280" s="8">
        <f t="shared" ref="B280" si="116">B278+1</f>
        <v>28</v>
      </c>
      <c r="C280" s="8" t="s">
        <v>272</v>
      </c>
      <c r="D280" s="8" t="s">
        <v>273</v>
      </c>
      <c r="E280" s="8">
        <v>1</v>
      </c>
      <c r="F280" s="8" t="s">
        <v>11</v>
      </c>
      <c r="G280" s="8" t="s">
        <v>12</v>
      </c>
      <c r="H280" s="8">
        <v>1</v>
      </c>
      <c r="I280" s="12"/>
    </row>
    <row r="281" spans="1:9" x14ac:dyDescent="0.3">
      <c r="A281" s="7" t="s">
        <v>216</v>
      </c>
      <c r="B281" s="8">
        <f t="shared" ref="B281" si="117">B280</f>
        <v>28</v>
      </c>
      <c r="C281" s="8" t="s">
        <v>272</v>
      </c>
      <c r="D281" s="8" t="s">
        <v>273</v>
      </c>
      <c r="E281" s="8">
        <v>2</v>
      </c>
      <c r="F281" s="8" t="s">
        <v>13</v>
      </c>
      <c r="G281" s="8" t="s">
        <v>14</v>
      </c>
      <c r="H281" s="8">
        <v>14</v>
      </c>
      <c r="I281" s="12"/>
    </row>
    <row r="282" spans="1:9" x14ac:dyDescent="0.3">
      <c r="A282" s="7" t="s">
        <v>216</v>
      </c>
      <c r="B282" s="8">
        <f t="shared" si="104"/>
        <v>29</v>
      </c>
      <c r="C282" s="8" t="s">
        <v>274</v>
      </c>
      <c r="D282" s="8" t="s">
        <v>275</v>
      </c>
      <c r="E282" s="8">
        <v>1</v>
      </c>
      <c r="F282" s="8" t="s">
        <v>11</v>
      </c>
      <c r="G282" s="8" t="s">
        <v>12</v>
      </c>
      <c r="H282" s="8">
        <v>1</v>
      </c>
      <c r="I282" s="12"/>
    </row>
    <row r="283" spans="1:9" x14ac:dyDescent="0.3">
      <c r="A283" s="7" t="s">
        <v>216</v>
      </c>
      <c r="B283" s="8">
        <f t="shared" si="105"/>
        <v>29</v>
      </c>
      <c r="C283" s="8" t="s">
        <v>274</v>
      </c>
      <c r="D283" s="8" t="s">
        <v>275</v>
      </c>
      <c r="E283" s="8">
        <v>2</v>
      </c>
      <c r="F283" s="8" t="s">
        <v>13</v>
      </c>
      <c r="G283" s="8" t="s">
        <v>14</v>
      </c>
      <c r="H283" s="8">
        <v>16</v>
      </c>
      <c r="I283" s="12"/>
    </row>
    <row r="284" spans="1:9" x14ac:dyDescent="0.3">
      <c r="A284" s="7" t="s">
        <v>216</v>
      </c>
      <c r="B284" s="8">
        <f t="shared" si="106"/>
        <v>30</v>
      </c>
      <c r="C284" s="8" t="s">
        <v>276</v>
      </c>
      <c r="D284" s="8" t="s">
        <v>277</v>
      </c>
      <c r="E284" s="8">
        <v>1</v>
      </c>
      <c r="F284" s="8" t="s">
        <v>11</v>
      </c>
      <c r="G284" s="8" t="s">
        <v>12</v>
      </c>
      <c r="H284" s="8">
        <v>1</v>
      </c>
      <c r="I284" s="12"/>
    </row>
    <row r="285" spans="1:9" x14ac:dyDescent="0.3">
      <c r="A285" s="7" t="s">
        <v>216</v>
      </c>
      <c r="B285" s="8">
        <f t="shared" si="107"/>
        <v>30</v>
      </c>
      <c r="C285" s="8" t="s">
        <v>276</v>
      </c>
      <c r="D285" s="8" t="s">
        <v>277</v>
      </c>
      <c r="E285" s="8">
        <v>2</v>
      </c>
      <c r="F285" s="8" t="s">
        <v>13</v>
      </c>
      <c r="G285" s="8" t="s">
        <v>14</v>
      </c>
      <c r="H285" s="8">
        <v>17</v>
      </c>
      <c r="I285" s="12"/>
    </row>
    <row r="286" spans="1:9" x14ac:dyDescent="0.3">
      <c r="A286" s="7" t="s">
        <v>216</v>
      </c>
      <c r="B286" s="8">
        <f t="shared" si="108"/>
        <v>31</v>
      </c>
      <c r="C286" s="8" t="s">
        <v>278</v>
      </c>
      <c r="D286" s="8" t="s">
        <v>279</v>
      </c>
      <c r="E286" s="8">
        <v>1</v>
      </c>
      <c r="F286" s="8" t="s">
        <v>11</v>
      </c>
      <c r="G286" s="8" t="s">
        <v>12</v>
      </c>
      <c r="H286" s="8">
        <v>1</v>
      </c>
      <c r="I286" s="12"/>
    </row>
    <row r="287" spans="1:9" x14ac:dyDescent="0.3">
      <c r="A287" s="7" t="s">
        <v>216</v>
      </c>
      <c r="B287" s="8">
        <f t="shared" si="109"/>
        <v>31</v>
      </c>
      <c r="C287" s="8" t="s">
        <v>278</v>
      </c>
      <c r="D287" s="8" t="s">
        <v>279</v>
      </c>
      <c r="E287" s="8">
        <v>2</v>
      </c>
      <c r="F287" s="8" t="s">
        <v>13</v>
      </c>
      <c r="G287" s="8" t="s">
        <v>14</v>
      </c>
      <c r="H287" s="8">
        <v>15</v>
      </c>
      <c r="I287" s="12"/>
    </row>
    <row r="288" spans="1:9" x14ac:dyDescent="0.3">
      <c r="A288" s="7" t="s">
        <v>216</v>
      </c>
      <c r="B288" s="8">
        <f t="shared" ref="B288" si="118">B286+1</f>
        <v>32</v>
      </c>
      <c r="C288" s="8" t="s">
        <v>280</v>
      </c>
      <c r="D288" s="8" t="s">
        <v>281</v>
      </c>
      <c r="E288" s="8">
        <v>1</v>
      </c>
      <c r="F288" s="8" t="s">
        <v>11</v>
      </c>
      <c r="G288" s="8" t="s">
        <v>12</v>
      </c>
      <c r="H288" s="8">
        <v>1</v>
      </c>
      <c r="I288" s="12"/>
    </row>
    <row r="289" spans="1:9" x14ac:dyDescent="0.3">
      <c r="A289" s="7" t="s">
        <v>216</v>
      </c>
      <c r="B289" s="8">
        <f t="shared" ref="B289" si="119">B288</f>
        <v>32</v>
      </c>
      <c r="C289" s="8" t="s">
        <v>280</v>
      </c>
      <c r="D289" s="8" t="s">
        <v>281</v>
      </c>
      <c r="E289" s="8">
        <v>2</v>
      </c>
      <c r="F289" s="8" t="s">
        <v>13</v>
      </c>
      <c r="G289" s="8" t="s">
        <v>14</v>
      </c>
      <c r="H289" s="8">
        <v>17</v>
      </c>
      <c r="I289" s="19" t="s">
        <v>243</v>
      </c>
    </row>
    <row r="290" spans="1:9" x14ac:dyDescent="0.3">
      <c r="A290" s="7" t="s">
        <v>216</v>
      </c>
      <c r="B290" s="8">
        <f t="shared" si="104"/>
        <v>33</v>
      </c>
      <c r="C290" s="8" t="s">
        <v>282</v>
      </c>
      <c r="D290" s="8" t="s">
        <v>283</v>
      </c>
      <c r="E290" s="8">
        <v>1</v>
      </c>
      <c r="F290" s="8" t="s">
        <v>11</v>
      </c>
      <c r="G290" s="8" t="s">
        <v>12</v>
      </c>
      <c r="H290" s="8">
        <v>1</v>
      </c>
      <c r="I290" s="12"/>
    </row>
    <row r="291" spans="1:9" x14ac:dyDescent="0.3">
      <c r="A291" s="7" t="s">
        <v>216</v>
      </c>
      <c r="B291" s="8">
        <f t="shared" si="105"/>
        <v>33</v>
      </c>
      <c r="C291" s="8" t="s">
        <v>282</v>
      </c>
      <c r="D291" s="8" t="s">
        <v>283</v>
      </c>
      <c r="E291" s="8">
        <v>2</v>
      </c>
      <c r="F291" s="8" t="s">
        <v>13</v>
      </c>
      <c r="G291" s="8" t="s">
        <v>14</v>
      </c>
      <c r="H291" s="8">
        <v>17</v>
      </c>
      <c r="I291" s="12"/>
    </row>
    <row r="292" spans="1:9" x14ac:dyDescent="0.3">
      <c r="A292" s="7" t="s">
        <v>216</v>
      </c>
      <c r="B292" s="8">
        <f t="shared" si="106"/>
        <v>34</v>
      </c>
      <c r="C292" s="8" t="s">
        <v>284</v>
      </c>
      <c r="D292" s="8" t="s">
        <v>285</v>
      </c>
      <c r="E292" s="8">
        <v>1</v>
      </c>
      <c r="F292" s="8" t="s">
        <v>11</v>
      </c>
      <c r="G292" s="8" t="s">
        <v>12</v>
      </c>
      <c r="H292" s="8">
        <v>1</v>
      </c>
      <c r="I292" s="12"/>
    </row>
    <row r="293" spans="1:9" x14ac:dyDescent="0.3">
      <c r="A293" s="7" t="s">
        <v>216</v>
      </c>
      <c r="B293" s="8">
        <f t="shared" si="107"/>
        <v>34</v>
      </c>
      <c r="C293" s="8" t="s">
        <v>284</v>
      </c>
      <c r="D293" s="8" t="s">
        <v>285</v>
      </c>
      <c r="E293" s="8">
        <v>2</v>
      </c>
      <c r="F293" s="8" t="s">
        <v>13</v>
      </c>
      <c r="G293" s="8" t="s">
        <v>14</v>
      </c>
      <c r="H293" s="8">
        <v>17</v>
      </c>
      <c r="I293" s="12"/>
    </row>
    <row r="294" spans="1:9" x14ac:dyDescent="0.3">
      <c r="A294" s="7" t="s">
        <v>216</v>
      </c>
      <c r="B294" s="8">
        <f t="shared" si="108"/>
        <v>35</v>
      </c>
      <c r="C294" s="8" t="s">
        <v>286</v>
      </c>
      <c r="D294" s="8" t="s">
        <v>287</v>
      </c>
      <c r="E294" s="8">
        <v>1</v>
      </c>
      <c r="F294" s="8" t="s">
        <v>11</v>
      </c>
      <c r="G294" s="8" t="s">
        <v>12</v>
      </c>
      <c r="H294" s="8">
        <v>1</v>
      </c>
      <c r="I294" s="12"/>
    </row>
    <row r="295" spans="1:9" x14ac:dyDescent="0.3">
      <c r="A295" s="7" t="s">
        <v>216</v>
      </c>
      <c r="B295" s="8">
        <f t="shared" si="109"/>
        <v>35</v>
      </c>
      <c r="C295" s="8" t="s">
        <v>286</v>
      </c>
      <c r="D295" s="8" t="s">
        <v>287</v>
      </c>
      <c r="E295" s="8">
        <v>2</v>
      </c>
      <c r="F295" s="8" t="s">
        <v>13</v>
      </c>
      <c r="G295" s="8" t="s">
        <v>14</v>
      </c>
      <c r="H295" s="8">
        <v>17</v>
      </c>
      <c r="I295" s="12"/>
    </row>
    <row r="296" spans="1:9" x14ac:dyDescent="0.3">
      <c r="A296" s="7" t="s">
        <v>216</v>
      </c>
      <c r="B296" s="8">
        <f t="shared" ref="B296" si="120">B294+1</f>
        <v>36</v>
      </c>
      <c r="C296" s="8" t="s">
        <v>288</v>
      </c>
      <c r="D296" s="8" t="s">
        <v>289</v>
      </c>
      <c r="E296" s="8">
        <v>1</v>
      </c>
      <c r="F296" s="8" t="s">
        <v>11</v>
      </c>
      <c r="G296" s="8" t="s">
        <v>12</v>
      </c>
      <c r="H296" s="8">
        <v>1</v>
      </c>
      <c r="I296" s="12"/>
    </row>
    <row r="297" spans="1:9" x14ac:dyDescent="0.3">
      <c r="A297" s="7" t="s">
        <v>216</v>
      </c>
      <c r="B297" s="8">
        <f t="shared" ref="B297" si="121">B296</f>
        <v>36</v>
      </c>
      <c r="C297" s="8" t="s">
        <v>288</v>
      </c>
      <c r="D297" s="8" t="s">
        <v>289</v>
      </c>
      <c r="E297" s="8">
        <v>2</v>
      </c>
      <c r="F297" s="8" t="s">
        <v>13</v>
      </c>
      <c r="G297" s="8" t="s">
        <v>14</v>
      </c>
      <c r="H297" s="8">
        <v>17</v>
      </c>
      <c r="I297" s="12"/>
    </row>
    <row r="298" spans="1:9" x14ac:dyDescent="0.3">
      <c r="A298" s="7" t="s">
        <v>216</v>
      </c>
      <c r="B298" s="8">
        <f t="shared" si="104"/>
        <v>37</v>
      </c>
      <c r="C298" s="8" t="s">
        <v>290</v>
      </c>
      <c r="D298" s="8" t="s">
        <v>291</v>
      </c>
      <c r="E298" s="8">
        <v>1</v>
      </c>
      <c r="F298" s="8" t="s">
        <v>11</v>
      </c>
      <c r="G298" s="8" t="s">
        <v>12</v>
      </c>
      <c r="H298" s="8">
        <v>1</v>
      </c>
      <c r="I298" s="12"/>
    </row>
    <row r="299" spans="1:9" x14ac:dyDescent="0.3">
      <c r="A299" s="7" t="s">
        <v>216</v>
      </c>
      <c r="B299" s="8">
        <f t="shared" si="105"/>
        <v>37</v>
      </c>
      <c r="C299" s="8" t="s">
        <v>290</v>
      </c>
      <c r="D299" s="8" t="s">
        <v>291</v>
      </c>
      <c r="E299" s="8">
        <v>2</v>
      </c>
      <c r="F299" s="8" t="s">
        <v>13</v>
      </c>
      <c r="G299" s="8" t="s">
        <v>14</v>
      </c>
      <c r="H299" s="8">
        <v>17</v>
      </c>
      <c r="I299" s="12"/>
    </row>
    <row r="300" spans="1:9" x14ac:dyDescent="0.3">
      <c r="A300" s="7" t="s">
        <v>216</v>
      </c>
      <c r="B300" s="8">
        <f t="shared" si="106"/>
        <v>38</v>
      </c>
      <c r="C300" s="8" t="s">
        <v>292</v>
      </c>
      <c r="D300" s="8" t="s">
        <v>293</v>
      </c>
      <c r="E300" s="8">
        <v>1</v>
      </c>
      <c r="F300" s="8" t="s">
        <v>11</v>
      </c>
      <c r="G300" s="8" t="s">
        <v>12</v>
      </c>
      <c r="H300" s="8">
        <v>1</v>
      </c>
      <c r="I300" s="12"/>
    </row>
    <row r="301" spans="1:9" x14ac:dyDescent="0.3">
      <c r="A301" s="7" t="s">
        <v>216</v>
      </c>
      <c r="B301" s="8">
        <f t="shared" si="107"/>
        <v>38</v>
      </c>
      <c r="C301" s="8" t="s">
        <v>292</v>
      </c>
      <c r="D301" s="8" t="s">
        <v>293</v>
      </c>
      <c r="E301" s="8">
        <v>2</v>
      </c>
      <c r="F301" s="8" t="s">
        <v>13</v>
      </c>
      <c r="G301" s="8" t="s">
        <v>14</v>
      </c>
      <c r="H301" s="8">
        <v>17</v>
      </c>
      <c r="I301" s="12"/>
    </row>
    <row r="302" spans="1:9" x14ac:dyDescent="0.3">
      <c r="A302" s="7" t="s">
        <v>216</v>
      </c>
      <c r="B302" s="8">
        <f t="shared" si="108"/>
        <v>39</v>
      </c>
      <c r="C302" s="8" t="s">
        <v>294</v>
      </c>
      <c r="D302" s="8" t="s">
        <v>295</v>
      </c>
      <c r="E302" s="8">
        <v>1</v>
      </c>
      <c r="F302" s="8" t="s">
        <v>11</v>
      </c>
      <c r="G302" s="8" t="s">
        <v>12</v>
      </c>
      <c r="H302" s="8">
        <v>1</v>
      </c>
      <c r="I302" s="12"/>
    </row>
    <row r="303" spans="1:9" x14ac:dyDescent="0.3">
      <c r="A303" s="7" t="s">
        <v>216</v>
      </c>
      <c r="B303" s="8">
        <f t="shared" si="109"/>
        <v>39</v>
      </c>
      <c r="C303" s="8" t="s">
        <v>294</v>
      </c>
      <c r="D303" s="8" t="s">
        <v>295</v>
      </c>
      <c r="E303" s="8">
        <v>2</v>
      </c>
      <c r="F303" s="8" t="s">
        <v>13</v>
      </c>
      <c r="G303" s="8" t="s">
        <v>14</v>
      </c>
      <c r="H303" s="8">
        <v>17</v>
      </c>
      <c r="I303" s="12"/>
    </row>
    <row r="304" spans="1:9" x14ac:dyDescent="0.3">
      <c r="A304" s="7" t="s">
        <v>216</v>
      </c>
      <c r="B304" s="8">
        <f t="shared" ref="B304" si="122">B302+1</f>
        <v>40</v>
      </c>
      <c r="C304" s="8" t="s">
        <v>296</v>
      </c>
      <c r="D304" s="8" t="s">
        <v>297</v>
      </c>
      <c r="E304" s="8">
        <v>1</v>
      </c>
      <c r="F304" s="8" t="s">
        <v>11</v>
      </c>
      <c r="G304" s="8" t="s">
        <v>12</v>
      </c>
      <c r="H304" s="8">
        <v>1</v>
      </c>
      <c r="I304" s="12"/>
    </row>
    <row r="305" spans="1:9" x14ac:dyDescent="0.3">
      <c r="A305" s="7" t="s">
        <v>216</v>
      </c>
      <c r="B305" s="8">
        <f t="shared" ref="B305" si="123">B304</f>
        <v>40</v>
      </c>
      <c r="C305" s="8" t="s">
        <v>296</v>
      </c>
      <c r="D305" s="8" t="s">
        <v>297</v>
      </c>
      <c r="E305" s="8">
        <v>2</v>
      </c>
      <c r="F305" s="8" t="s">
        <v>13</v>
      </c>
      <c r="G305" s="8" t="s">
        <v>14</v>
      </c>
      <c r="H305" s="8">
        <v>17</v>
      </c>
      <c r="I305" s="12"/>
    </row>
    <row r="306" spans="1:9" x14ac:dyDescent="0.3">
      <c r="A306" s="7" t="s">
        <v>216</v>
      </c>
      <c r="B306" s="8">
        <f t="shared" si="104"/>
        <v>41</v>
      </c>
      <c r="C306" s="8" t="s">
        <v>298</v>
      </c>
      <c r="D306" s="8" t="s">
        <v>299</v>
      </c>
      <c r="E306" s="8">
        <v>1</v>
      </c>
      <c r="F306" s="8" t="s">
        <v>11</v>
      </c>
      <c r="G306" s="8" t="s">
        <v>12</v>
      </c>
      <c r="H306" s="8">
        <v>1</v>
      </c>
      <c r="I306" s="12"/>
    </row>
    <row r="307" spans="1:9" x14ac:dyDescent="0.3">
      <c r="A307" s="7" t="s">
        <v>216</v>
      </c>
      <c r="B307" s="8">
        <f t="shared" si="105"/>
        <v>41</v>
      </c>
      <c r="C307" s="8" t="s">
        <v>298</v>
      </c>
      <c r="D307" s="8" t="s">
        <v>299</v>
      </c>
      <c r="E307" s="8">
        <v>2</v>
      </c>
      <c r="F307" s="8" t="s">
        <v>13</v>
      </c>
      <c r="G307" s="8" t="s">
        <v>14</v>
      </c>
      <c r="H307" s="8">
        <v>17</v>
      </c>
      <c r="I307" s="19" t="s">
        <v>243</v>
      </c>
    </row>
    <row r="308" spans="1:9" x14ac:dyDescent="0.3">
      <c r="A308" s="7" t="s">
        <v>216</v>
      </c>
      <c r="B308" s="8">
        <f t="shared" si="106"/>
        <v>42</v>
      </c>
      <c r="C308" s="8" t="s">
        <v>300</v>
      </c>
      <c r="D308" s="8" t="s">
        <v>301</v>
      </c>
      <c r="E308" s="8">
        <v>1</v>
      </c>
      <c r="F308" s="8" t="s">
        <v>11</v>
      </c>
      <c r="G308" s="8" t="s">
        <v>12</v>
      </c>
      <c r="H308" s="8">
        <v>1</v>
      </c>
      <c r="I308" s="12"/>
    </row>
    <row r="309" spans="1:9" x14ac:dyDescent="0.3">
      <c r="A309" s="7" t="s">
        <v>216</v>
      </c>
      <c r="B309" s="8">
        <f t="shared" si="107"/>
        <v>42</v>
      </c>
      <c r="C309" s="8" t="s">
        <v>300</v>
      </c>
      <c r="D309" s="8" t="s">
        <v>301</v>
      </c>
      <c r="E309" s="8">
        <v>2</v>
      </c>
      <c r="F309" s="8" t="s">
        <v>13</v>
      </c>
      <c r="G309" s="8" t="s">
        <v>14</v>
      </c>
      <c r="H309" s="8">
        <v>17</v>
      </c>
      <c r="I309" s="12"/>
    </row>
    <row r="310" spans="1:9" x14ac:dyDescent="0.3">
      <c r="A310" s="7" t="s">
        <v>216</v>
      </c>
      <c r="B310" s="8">
        <f t="shared" si="108"/>
        <v>43</v>
      </c>
      <c r="C310" s="8" t="s">
        <v>302</v>
      </c>
      <c r="D310" s="8" t="s">
        <v>303</v>
      </c>
      <c r="E310" s="8">
        <v>1</v>
      </c>
      <c r="F310" s="8" t="s">
        <v>11</v>
      </c>
      <c r="G310" s="8" t="s">
        <v>12</v>
      </c>
      <c r="H310" s="8">
        <v>1</v>
      </c>
      <c r="I310" s="12"/>
    </row>
    <row r="311" spans="1:9" x14ac:dyDescent="0.3">
      <c r="A311" s="7" t="s">
        <v>216</v>
      </c>
      <c r="B311" s="8">
        <f t="shared" si="109"/>
        <v>43</v>
      </c>
      <c r="C311" s="8" t="s">
        <v>302</v>
      </c>
      <c r="D311" s="8" t="s">
        <v>303</v>
      </c>
      <c r="E311" s="8">
        <v>2</v>
      </c>
      <c r="F311" s="8" t="s">
        <v>13</v>
      </c>
      <c r="G311" s="8" t="s">
        <v>14</v>
      </c>
      <c r="H311" s="8">
        <v>17</v>
      </c>
      <c r="I311" s="12"/>
    </row>
    <row r="312" spans="1:9" x14ac:dyDescent="0.3">
      <c r="A312" s="7" t="s">
        <v>216</v>
      </c>
      <c r="B312" s="8">
        <f t="shared" ref="B312" si="124">B310+1</f>
        <v>44</v>
      </c>
      <c r="C312" s="8" t="s">
        <v>304</v>
      </c>
      <c r="D312" s="8" t="s">
        <v>305</v>
      </c>
      <c r="E312" s="8">
        <v>1</v>
      </c>
      <c r="F312" s="8" t="s">
        <v>11</v>
      </c>
      <c r="G312" s="8" t="s">
        <v>12</v>
      </c>
      <c r="H312" s="8">
        <v>1</v>
      </c>
      <c r="I312" s="12"/>
    </row>
    <row r="313" spans="1:9" x14ac:dyDescent="0.3">
      <c r="A313" s="7" t="s">
        <v>216</v>
      </c>
      <c r="B313" s="8">
        <f t="shared" ref="B313" si="125">B312</f>
        <v>44</v>
      </c>
      <c r="C313" s="8" t="s">
        <v>304</v>
      </c>
      <c r="D313" s="8" t="s">
        <v>305</v>
      </c>
      <c r="E313" s="8">
        <v>2</v>
      </c>
      <c r="F313" s="8" t="s">
        <v>13</v>
      </c>
      <c r="G313" s="8" t="s">
        <v>14</v>
      </c>
      <c r="H313" s="8">
        <v>17</v>
      </c>
      <c r="I313" s="12"/>
    </row>
    <row r="314" spans="1:9" x14ac:dyDescent="0.3">
      <c r="A314" s="13" t="s">
        <v>306</v>
      </c>
      <c r="B314" s="14">
        <v>1</v>
      </c>
      <c r="C314" s="14" t="s">
        <v>307</v>
      </c>
      <c r="D314" s="14" t="s">
        <v>308</v>
      </c>
      <c r="E314" s="14">
        <v>1</v>
      </c>
      <c r="F314" s="14" t="s">
        <v>11</v>
      </c>
      <c r="G314" s="14" t="s">
        <v>12</v>
      </c>
      <c r="H314" s="14">
        <v>1</v>
      </c>
      <c r="I314" s="12"/>
    </row>
    <row r="315" spans="1:9" x14ac:dyDescent="0.3">
      <c r="A315" s="13" t="s">
        <v>306</v>
      </c>
      <c r="B315" s="14">
        <f t="shared" ref="B315:B331" si="126">B314</f>
        <v>1</v>
      </c>
      <c r="C315" s="14" t="s">
        <v>307</v>
      </c>
      <c r="D315" s="14" t="s">
        <v>308</v>
      </c>
      <c r="E315" s="14">
        <v>2</v>
      </c>
      <c r="F315" s="14" t="s">
        <v>13</v>
      </c>
      <c r="G315" s="14" t="s">
        <v>14</v>
      </c>
      <c r="H315" s="14">
        <v>1</v>
      </c>
      <c r="I315" s="12"/>
    </row>
    <row r="316" spans="1:9" x14ac:dyDescent="0.3">
      <c r="A316" s="13" t="s">
        <v>306</v>
      </c>
      <c r="B316" s="14">
        <f t="shared" ref="B316:B332" si="127">B314+1</f>
        <v>2</v>
      </c>
      <c r="C316" s="14" t="s">
        <v>309</v>
      </c>
      <c r="D316" s="14" t="s">
        <v>310</v>
      </c>
      <c r="E316" s="14">
        <v>1</v>
      </c>
      <c r="F316" s="14" t="s">
        <v>11</v>
      </c>
      <c r="G316" s="14" t="s">
        <v>12</v>
      </c>
      <c r="H316" s="14">
        <v>1</v>
      </c>
      <c r="I316" s="12"/>
    </row>
    <row r="317" spans="1:9" x14ac:dyDescent="0.3">
      <c r="A317" s="13" t="s">
        <v>306</v>
      </c>
      <c r="B317" s="14">
        <f t="shared" ref="B317:B333" si="128">B316</f>
        <v>2</v>
      </c>
      <c r="C317" s="14" t="s">
        <v>309</v>
      </c>
      <c r="D317" s="14" t="s">
        <v>310</v>
      </c>
      <c r="E317" s="14">
        <v>2</v>
      </c>
      <c r="F317" s="14" t="s">
        <v>13</v>
      </c>
      <c r="G317" s="14" t="s">
        <v>14</v>
      </c>
      <c r="H317" s="14">
        <v>1</v>
      </c>
      <c r="I317" s="12"/>
    </row>
    <row r="318" spans="1:9" x14ac:dyDescent="0.3">
      <c r="A318" s="13" t="s">
        <v>306</v>
      </c>
      <c r="B318" s="14">
        <f t="shared" ref="B318:B334" si="129">B316+1</f>
        <v>3</v>
      </c>
      <c r="C318" s="14" t="s">
        <v>311</v>
      </c>
      <c r="D318" s="14" t="s">
        <v>312</v>
      </c>
      <c r="E318" s="14">
        <v>1</v>
      </c>
      <c r="F318" s="14" t="s">
        <v>11</v>
      </c>
      <c r="G318" s="14" t="s">
        <v>12</v>
      </c>
      <c r="H318" s="14">
        <v>1</v>
      </c>
      <c r="I318" s="12"/>
    </row>
    <row r="319" spans="1:9" x14ac:dyDescent="0.3">
      <c r="A319" s="13" t="s">
        <v>306</v>
      </c>
      <c r="B319" s="14">
        <f t="shared" ref="B319:B335" si="130">B318</f>
        <v>3</v>
      </c>
      <c r="C319" s="14" t="s">
        <v>311</v>
      </c>
      <c r="D319" s="14" t="s">
        <v>312</v>
      </c>
      <c r="E319" s="14">
        <v>2</v>
      </c>
      <c r="F319" s="14" t="s">
        <v>13</v>
      </c>
      <c r="G319" s="14" t="s">
        <v>14</v>
      </c>
      <c r="H319" s="14">
        <v>1</v>
      </c>
      <c r="I319" s="12"/>
    </row>
    <row r="320" spans="1:9" x14ac:dyDescent="0.3">
      <c r="A320" s="13" t="s">
        <v>306</v>
      </c>
      <c r="B320" s="14">
        <f t="shared" ref="B320" si="131">B318+1</f>
        <v>4</v>
      </c>
      <c r="C320" s="14" t="s">
        <v>313</v>
      </c>
      <c r="D320" s="14" t="s">
        <v>314</v>
      </c>
      <c r="E320" s="14">
        <v>1</v>
      </c>
      <c r="F320" s="14" t="s">
        <v>11</v>
      </c>
      <c r="G320" s="14" t="s">
        <v>12</v>
      </c>
      <c r="H320" s="14">
        <v>1</v>
      </c>
      <c r="I320" s="12"/>
    </row>
    <row r="321" spans="1:9" x14ac:dyDescent="0.3">
      <c r="A321" s="13" t="s">
        <v>306</v>
      </c>
      <c r="B321" s="14">
        <f t="shared" ref="B321" si="132">B320</f>
        <v>4</v>
      </c>
      <c r="C321" s="14" t="s">
        <v>313</v>
      </c>
      <c r="D321" s="14" t="s">
        <v>314</v>
      </c>
      <c r="E321" s="14">
        <v>2</v>
      </c>
      <c r="F321" s="14" t="s">
        <v>13</v>
      </c>
      <c r="G321" s="14" t="s">
        <v>14</v>
      </c>
      <c r="H321" s="14">
        <v>1</v>
      </c>
      <c r="I321" s="12"/>
    </row>
    <row r="322" spans="1:9" x14ac:dyDescent="0.3">
      <c r="A322" s="13" t="s">
        <v>306</v>
      </c>
      <c r="B322" s="14">
        <f t="shared" ref="B322:B330" si="133">B320+1</f>
        <v>5</v>
      </c>
      <c r="C322" s="14" t="s">
        <v>315</v>
      </c>
      <c r="D322" s="14" t="s">
        <v>316</v>
      </c>
      <c r="E322" s="14">
        <v>1</v>
      </c>
      <c r="F322" s="14" t="s">
        <v>11</v>
      </c>
      <c r="G322" s="14" t="s">
        <v>12</v>
      </c>
      <c r="H322" s="14">
        <v>1</v>
      </c>
      <c r="I322" s="12"/>
    </row>
    <row r="323" spans="1:9" x14ac:dyDescent="0.3">
      <c r="A323" s="13" t="s">
        <v>306</v>
      </c>
      <c r="B323" s="14">
        <f t="shared" si="126"/>
        <v>5</v>
      </c>
      <c r="C323" s="14" t="s">
        <v>315</v>
      </c>
      <c r="D323" s="14" t="s">
        <v>316</v>
      </c>
      <c r="E323" s="14">
        <v>2</v>
      </c>
      <c r="F323" s="14" t="s">
        <v>13</v>
      </c>
      <c r="G323" s="14" t="s">
        <v>14</v>
      </c>
      <c r="H323" s="14">
        <v>1</v>
      </c>
      <c r="I323" s="12"/>
    </row>
    <row r="324" spans="1:9" x14ac:dyDescent="0.3">
      <c r="A324" s="13" t="s">
        <v>306</v>
      </c>
      <c r="B324" s="14">
        <f t="shared" si="127"/>
        <v>6</v>
      </c>
      <c r="C324" s="14" t="s">
        <v>317</v>
      </c>
      <c r="D324" s="14" t="s">
        <v>318</v>
      </c>
      <c r="E324" s="14">
        <v>1</v>
      </c>
      <c r="F324" s="14" t="s">
        <v>11</v>
      </c>
      <c r="G324" s="14" t="s">
        <v>12</v>
      </c>
      <c r="H324" s="14">
        <v>1</v>
      </c>
      <c r="I324" s="12"/>
    </row>
    <row r="325" spans="1:9" x14ac:dyDescent="0.3">
      <c r="A325" s="13" t="s">
        <v>306</v>
      </c>
      <c r="B325" s="14">
        <f t="shared" si="128"/>
        <v>6</v>
      </c>
      <c r="C325" s="14" t="s">
        <v>317</v>
      </c>
      <c r="D325" s="14" t="s">
        <v>318</v>
      </c>
      <c r="E325" s="14">
        <v>2</v>
      </c>
      <c r="F325" s="14" t="s">
        <v>13</v>
      </c>
      <c r="G325" s="14" t="s">
        <v>14</v>
      </c>
      <c r="H325" s="14">
        <v>1</v>
      </c>
      <c r="I325" s="12"/>
    </row>
    <row r="326" spans="1:9" x14ac:dyDescent="0.3">
      <c r="A326" s="13" t="s">
        <v>306</v>
      </c>
      <c r="B326" s="14">
        <f t="shared" si="129"/>
        <v>7</v>
      </c>
      <c r="C326" s="14" t="s">
        <v>319</v>
      </c>
      <c r="D326" s="14" t="s">
        <v>320</v>
      </c>
      <c r="E326" s="14">
        <v>1</v>
      </c>
      <c r="F326" s="14" t="s">
        <v>11</v>
      </c>
      <c r="G326" s="14" t="s">
        <v>12</v>
      </c>
      <c r="H326" s="14">
        <v>1</v>
      </c>
      <c r="I326" s="12"/>
    </row>
    <row r="327" spans="1:9" x14ac:dyDescent="0.3">
      <c r="A327" s="13" t="s">
        <v>306</v>
      </c>
      <c r="B327" s="14">
        <f t="shared" si="130"/>
        <v>7</v>
      </c>
      <c r="C327" s="14" t="s">
        <v>319</v>
      </c>
      <c r="D327" s="14" t="s">
        <v>320</v>
      </c>
      <c r="E327" s="14">
        <v>2</v>
      </c>
      <c r="F327" s="14" t="s">
        <v>13</v>
      </c>
      <c r="G327" s="14" t="s">
        <v>14</v>
      </c>
      <c r="H327" s="14">
        <v>1</v>
      </c>
      <c r="I327" s="12"/>
    </row>
    <row r="328" spans="1:9" x14ac:dyDescent="0.3">
      <c r="A328" s="13" t="s">
        <v>306</v>
      </c>
      <c r="B328" s="14">
        <f t="shared" ref="B328" si="134">B326+1</f>
        <v>8</v>
      </c>
      <c r="C328" s="14" t="s">
        <v>321</v>
      </c>
      <c r="D328" s="14" t="s">
        <v>322</v>
      </c>
      <c r="E328" s="14">
        <v>1</v>
      </c>
      <c r="F328" s="14" t="s">
        <v>11</v>
      </c>
      <c r="G328" s="14" t="s">
        <v>12</v>
      </c>
      <c r="H328" s="14">
        <v>1</v>
      </c>
      <c r="I328" s="12"/>
    </row>
    <row r="329" spans="1:9" x14ac:dyDescent="0.3">
      <c r="A329" s="13" t="s">
        <v>306</v>
      </c>
      <c r="B329" s="14">
        <f t="shared" ref="B329" si="135">B328</f>
        <v>8</v>
      </c>
      <c r="C329" s="14" t="s">
        <v>321</v>
      </c>
      <c r="D329" s="14" t="s">
        <v>322</v>
      </c>
      <c r="E329" s="14">
        <v>2</v>
      </c>
      <c r="F329" s="14" t="s">
        <v>13</v>
      </c>
      <c r="G329" s="14" t="s">
        <v>14</v>
      </c>
      <c r="H329" s="14">
        <v>1</v>
      </c>
      <c r="I329" s="12"/>
    </row>
    <row r="330" spans="1:9" x14ac:dyDescent="0.3">
      <c r="A330" s="13" t="s">
        <v>306</v>
      </c>
      <c r="B330" s="14">
        <f t="shared" si="133"/>
        <v>9</v>
      </c>
      <c r="C330" s="14" t="s">
        <v>323</v>
      </c>
      <c r="D330" s="14" t="s">
        <v>324</v>
      </c>
      <c r="E330" s="14">
        <v>1</v>
      </c>
      <c r="F330" s="14" t="s">
        <v>11</v>
      </c>
      <c r="G330" s="14" t="s">
        <v>12</v>
      </c>
      <c r="H330" s="14">
        <v>1</v>
      </c>
      <c r="I330" s="12"/>
    </row>
    <row r="331" spans="1:9" x14ac:dyDescent="0.3">
      <c r="A331" s="13" t="s">
        <v>306</v>
      </c>
      <c r="B331" s="14">
        <f t="shared" si="126"/>
        <v>9</v>
      </c>
      <c r="C331" s="14" t="s">
        <v>323</v>
      </c>
      <c r="D331" s="14" t="s">
        <v>324</v>
      </c>
      <c r="E331" s="14">
        <v>2</v>
      </c>
      <c r="F331" s="14" t="s">
        <v>13</v>
      </c>
      <c r="G331" s="14" t="s">
        <v>14</v>
      </c>
      <c r="H331" s="14">
        <v>1</v>
      </c>
      <c r="I331" s="12"/>
    </row>
    <row r="332" spans="1:9" x14ac:dyDescent="0.3">
      <c r="A332" s="13" t="s">
        <v>306</v>
      </c>
      <c r="B332" s="14">
        <f t="shared" si="127"/>
        <v>10</v>
      </c>
      <c r="C332" s="14" t="s">
        <v>325</v>
      </c>
      <c r="D332" s="14" t="s">
        <v>326</v>
      </c>
      <c r="E332" s="14">
        <v>1</v>
      </c>
      <c r="F332" s="14" t="s">
        <v>11</v>
      </c>
      <c r="G332" s="14" t="s">
        <v>12</v>
      </c>
      <c r="H332" s="14">
        <v>1</v>
      </c>
      <c r="I332" s="12"/>
    </row>
    <row r="333" spans="1:9" x14ac:dyDescent="0.3">
      <c r="A333" s="13" t="s">
        <v>306</v>
      </c>
      <c r="B333" s="14">
        <f t="shared" si="128"/>
        <v>10</v>
      </c>
      <c r="C333" s="14" t="s">
        <v>325</v>
      </c>
      <c r="D333" s="14" t="s">
        <v>326</v>
      </c>
      <c r="E333" s="14">
        <v>2</v>
      </c>
      <c r="F333" s="14" t="s">
        <v>13</v>
      </c>
      <c r="G333" s="14" t="s">
        <v>14</v>
      </c>
      <c r="H333" s="14">
        <v>1</v>
      </c>
      <c r="I333" s="12"/>
    </row>
    <row r="334" spans="1:9" x14ac:dyDescent="0.3">
      <c r="A334" s="13" t="s">
        <v>306</v>
      </c>
      <c r="B334" s="14">
        <f t="shared" si="129"/>
        <v>11</v>
      </c>
      <c r="C334" s="14" t="s">
        <v>327</v>
      </c>
      <c r="D334" s="14" t="s">
        <v>328</v>
      </c>
      <c r="E334" s="14">
        <v>1</v>
      </c>
      <c r="F334" s="14" t="s">
        <v>11</v>
      </c>
      <c r="G334" s="14" t="s">
        <v>12</v>
      </c>
      <c r="H334" s="14">
        <v>1</v>
      </c>
      <c r="I334" s="12"/>
    </row>
    <row r="335" spans="1:9" x14ac:dyDescent="0.3">
      <c r="A335" s="13" t="s">
        <v>306</v>
      </c>
      <c r="B335" s="14">
        <f t="shared" si="130"/>
        <v>11</v>
      </c>
      <c r="C335" s="14" t="s">
        <v>327</v>
      </c>
      <c r="D335" s="14" t="s">
        <v>328</v>
      </c>
      <c r="E335" s="14">
        <v>2</v>
      </c>
      <c r="F335" s="14" t="s">
        <v>13</v>
      </c>
      <c r="G335" s="14" t="s">
        <v>14</v>
      </c>
      <c r="H335" s="14">
        <v>1</v>
      </c>
      <c r="I335" s="12"/>
    </row>
    <row r="336" spans="1:9" x14ac:dyDescent="0.3">
      <c r="A336" s="13" t="s">
        <v>306</v>
      </c>
      <c r="B336" s="14">
        <f t="shared" ref="B336" si="136">B334+1</f>
        <v>12</v>
      </c>
      <c r="C336" s="14" t="s">
        <v>329</v>
      </c>
      <c r="D336" s="14" t="s">
        <v>330</v>
      </c>
      <c r="E336" s="14">
        <v>1</v>
      </c>
      <c r="F336" s="14" t="s">
        <v>11</v>
      </c>
      <c r="G336" s="14" t="s">
        <v>12</v>
      </c>
      <c r="H336" s="14">
        <v>1</v>
      </c>
      <c r="I336" s="12"/>
    </row>
    <row r="337" spans="1:9" x14ac:dyDescent="0.3">
      <c r="A337" s="13" t="s">
        <v>306</v>
      </c>
      <c r="B337" s="14">
        <f t="shared" ref="B337" si="137">B336</f>
        <v>12</v>
      </c>
      <c r="C337" s="14" t="s">
        <v>329</v>
      </c>
      <c r="D337" s="14" t="s">
        <v>330</v>
      </c>
      <c r="E337" s="14">
        <v>2</v>
      </c>
      <c r="F337" s="14" t="s">
        <v>13</v>
      </c>
      <c r="G337" s="14" t="s">
        <v>14</v>
      </c>
      <c r="H337" s="14">
        <v>1</v>
      </c>
      <c r="I337" s="12"/>
    </row>
    <row r="338" spans="1:9" x14ac:dyDescent="0.3">
      <c r="A338" s="132" t="s">
        <v>216</v>
      </c>
      <c r="B338" s="133">
        <f t="shared" ref="B338" si="138">B336+1</f>
        <v>13</v>
      </c>
      <c r="C338" s="134" t="s">
        <v>486</v>
      </c>
      <c r="D338" s="133" t="s">
        <v>487</v>
      </c>
      <c r="E338" s="133">
        <v>1</v>
      </c>
      <c r="F338" s="133" t="s">
        <v>11</v>
      </c>
      <c r="G338" s="133" t="s">
        <v>12</v>
      </c>
      <c r="H338" s="133">
        <v>1</v>
      </c>
    </row>
    <row r="339" spans="1:9" x14ac:dyDescent="0.3">
      <c r="A339" s="132" t="s">
        <v>216</v>
      </c>
      <c r="B339" s="133">
        <f t="shared" ref="B339" si="139">B338</f>
        <v>13</v>
      </c>
      <c r="C339" s="134" t="s">
        <v>486</v>
      </c>
      <c r="D339" s="133" t="s">
        <v>487</v>
      </c>
      <c r="E339" s="133">
        <v>2</v>
      </c>
      <c r="F339" s="133" t="s">
        <v>13</v>
      </c>
      <c r="G339" s="133" t="s">
        <v>14</v>
      </c>
      <c r="H339" s="133">
        <v>17</v>
      </c>
    </row>
    <row r="340" spans="1:9" x14ac:dyDescent="0.3">
      <c r="A340" s="132" t="s">
        <v>306</v>
      </c>
      <c r="B340" s="133">
        <f t="shared" ref="B340" si="140">B338+1</f>
        <v>14</v>
      </c>
      <c r="C340" s="135" t="s">
        <v>488</v>
      </c>
      <c r="D340" s="133" t="s">
        <v>489</v>
      </c>
      <c r="E340" s="133">
        <v>1</v>
      </c>
      <c r="F340" s="133" t="s">
        <v>11</v>
      </c>
      <c r="G340" s="133" t="s">
        <v>12</v>
      </c>
      <c r="H340" s="133">
        <v>1</v>
      </c>
    </row>
    <row r="341" spans="1:9" x14ac:dyDescent="0.3">
      <c r="A341" s="132" t="s">
        <v>306</v>
      </c>
      <c r="B341" s="133">
        <f t="shared" ref="B341" si="141">B340</f>
        <v>14</v>
      </c>
      <c r="C341" s="135" t="s">
        <v>488</v>
      </c>
      <c r="D341" s="133" t="s">
        <v>489</v>
      </c>
      <c r="E341" s="133">
        <v>2</v>
      </c>
      <c r="F341" s="133" t="s">
        <v>13</v>
      </c>
      <c r="G341" s="133" t="s">
        <v>14</v>
      </c>
      <c r="H341" s="133">
        <v>1</v>
      </c>
    </row>
  </sheetData>
  <autoFilter ref="A1:I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61"/>
  <sheetViews>
    <sheetView tabSelected="1" zoomScale="70" zoomScaleNormal="70" workbookViewId="0">
      <pane ySplit="1" topLeftCell="A134" activePane="bottomLeft" state="frozen"/>
      <selection pane="bottomLeft" activeCell="H148" sqref="H148"/>
    </sheetView>
  </sheetViews>
  <sheetFormatPr defaultColWidth="8.6640625" defaultRowHeight="14.4" x14ac:dyDescent="0.3"/>
  <cols>
    <col min="1" max="1" width="7.33203125" bestFit="1" customWidth="1"/>
    <col min="2" max="2" width="18.33203125" bestFit="1" customWidth="1"/>
    <col min="3" max="3" width="54.5546875" bestFit="1" customWidth="1"/>
    <col min="4" max="4" width="24.33203125" customWidth="1"/>
    <col min="5" max="5" width="42" bestFit="1" customWidth="1"/>
    <col min="6" max="6" width="45.33203125" bestFit="1" customWidth="1"/>
    <col min="7" max="7" width="38.33203125" bestFit="1" customWidth="1"/>
    <col min="8" max="8" width="38.33203125" customWidth="1"/>
    <col min="9" max="9" width="25.109375" bestFit="1" customWidth="1"/>
    <col min="10" max="44" width="12" bestFit="1" customWidth="1"/>
  </cols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331</v>
      </c>
      <c r="H1" s="1" t="s">
        <v>434</v>
      </c>
      <c r="I1" s="1" t="s">
        <v>332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 s="2">
        <v>1</v>
      </c>
      <c r="B2" s="2" t="s">
        <v>9</v>
      </c>
      <c r="C2" s="2" t="s">
        <v>10</v>
      </c>
      <c r="D2" s="2">
        <v>1</v>
      </c>
      <c r="E2" s="2" t="s">
        <v>333</v>
      </c>
      <c r="F2" s="2"/>
      <c r="G2" s="2" t="s">
        <v>334</v>
      </c>
      <c r="H2" s="2"/>
      <c r="I2" s="2">
        <v>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x14ac:dyDescent="0.3">
      <c r="A3" s="2">
        <v>1</v>
      </c>
      <c r="B3" s="2" t="s">
        <v>9</v>
      </c>
      <c r="C3" s="2" t="s">
        <v>10</v>
      </c>
      <c r="D3" s="2">
        <v>2</v>
      </c>
      <c r="E3" s="2" t="s">
        <v>335</v>
      </c>
      <c r="F3" s="2"/>
      <c r="G3" s="2" t="s">
        <v>334</v>
      </c>
      <c r="H3" s="2"/>
      <c r="I3" s="2">
        <v>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x14ac:dyDescent="0.3">
      <c r="A4" s="2">
        <v>1</v>
      </c>
      <c r="B4" s="2" t="s">
        <v>9</v>
      </c>
      <c r="C4" s="2" t="s">
        <v>10</v>
      </c>
      <c r="D4" s="2">
        <v>3</v>
      </c>
      <c r="E4" s="2" t="s">
        <v>336</v>
      </c>
      <c r="F4" s="2" t="s">
        <v>337</v>
      </c>
      <c r="G4" s="2" t="s">
        <v>338</v>
      </c>
      <c r="H4" s="2" t="s">
        <v>420</v>
      </c>
      <c r="I4" s="47">
        <v>0</v>
      </c>
      <c r="J4" s="47">
        <v>15.06</v>
      </c>
      <c r="K4" s="2">
        <v>15.06</v>
      </c>
      <c r="L4" s="2">
        <v>15.06</v>
      </c>
      <c r="M4" s="2">
        <v>15.06</v>
      </c>
      <c r="N4" s="2">
        <v>15.06</v>
      </c>
      <c r="O4" s="2">
        <v>15.06</v>
      </c>
      <c r="P4" s="2">
        <v>14.940000000000001</v>
      </c>
      <c r="Q4" s="2">
        <v>14.82</v>
      </c>
      <c r="R4" s="2">
        <v>14.700000000000001</v>
      </c>
      <c r="S4" s="2">
        <v>14.58</v>
      </c>
      <c r="T4" s="2">
        <v>14.46</v>
      </c>
      <c r="U4" s="2">
        <v>14.34</v>
      </c>
      <c r="V4" s="2">
        <v>14.22</v>
      </c>
      <c r="W4" s="2">
        <v>14.207777777777778</v>
      </c>
      <c r="X4" s="2">
        <v>14.195555555555556</v>
      </c>
      <c r="Y4" s="2">
        <v>14.183333333333334</v>
      </c>
      <c r="Z4" s="2">
        <v>14.171111111111111</v>
      </c>
      <c r="AA4" s="2">
        <v>14.158888888888889</v>
      </c>
      <c r="AB4" s="2">
        <v>14.146666666666667</v>
      </c>
      <c r="AC4" s="2">
        <v>14.134444444444446</v>
      </c>
      <c r="AD4" s="2">
        <v>14.122222222222224</v>
      </c>
      <c r="AE4" s="2">
        <v>14.110000000000001</v>
      </c>
      <c r="AF4" s="2">
        <v>14.097777777777779</v>
      </c>
      <c r="AG4" s="2">
        <v>14.085555555555556</v>
      </c>
      <c r="AH4" s="2">
        <v>14.073333333333334</v>
      </c>
      <c r="AI4" s="2">
        <v>14.061111111111112</v>
      </c>
      <c r="AJ4" s="2">
        <v>14.048888888888889</v>
      </c>
      <c r="AK4" s="2">
        <v>14.036666666666667</v>
      </c>
      <c r="AL4" s="2">
        <v>14.024444444444445</v>
      </c>
      <c r="AM4" s="2">
        <v>14.012222222222222</v>
      </c>
      <c r="AN4" s="2">
        <v>14</v>
      </c>
      <c r="AO4" s="2">
        <v>13.987777777777778</v>
      </c>
      <c r="AP4" s="2">
        <v>13.89</v>
      </c>
    </row>
    <row r="5" spans="1:42" x14ac:dyDescent="0.3">
      <c r="A5" s="2">
        <v>1</v>
      </c>
      <c r="B5" s="2" t="s">
        <v>9</v>
      </c>
      <c r="C5" s="2" t="s">
        <v>10</v>
      </c>
      <c r="D5" s="2">
        <v>4</v>
      </c>
      <c r="E5" s="2" t="s">
        <v>339</v>
      </c>
      <c r="F5" s="2"/>
      <c r="G5" s="2" t="s">
        <v>334</v>
      </c>
      <c r="H5" s="2"/>
      <c r="I5" s="2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x14ac:dyDescent="0.3">
      <c r="A6" s="2">
        <v>1</v>
      </c>
      <c r="B6" s="2" t="s">
        <v>9</v>
      </c>
      <c r="C6" s="2" t="s">
        <v>10</v>
      </c>
      <c r="D6" s="2">
        <v>5</v>
      </c>
      <c r="E6" s="2" t="s">
        <v>340</v>
      </c>
      <c r="F6" s="2"/>
      <c r="G6" s="2" t="s">
        <v>334</v>
      </c>
      <c r="H6" s="2"/>
      <c r="I6" s="2">
        <v>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x14ac:dyDescent="0.3">
      <c r="A7" s="2">
        <v>1</v>
      </c>
      <c r="B7" s="2" t="s">
        <v>9</v>
      </c>
      <c r="C7" s="2" t="s">
        <v>10</v>
      </c>
      <c r="D7" s="2">
        <v>6</v>
      </c>
      <c r="E7" s="2" t="s">
        <v>341</v>
      </c>
      <c r="F7" s="2" t="s">
        <v>342</v>
      </c>
      <c r="G7" s="2" t="s">
        <v>338</v>
      </c>
      <c r="H7" s="2" t="s">
        <v>421</v>
      </c>
      <c r="I7" s="2">
        <v>0</v>
      </c>
      <c r="J7" s="2">
        <v>53.09</v>
      </c>
      <c r="K7" s="2">
        <v>52.69</v>
      </c>
      <c r="L7" s="2">
        <v>21.63</v>
      </c>
      <c r="M7" s="2">
        <v>51.22</v>
      </c>
      <c r="N7" s="2">
        <v>51.22</v>
      </c>
      <c r="O7" s="2">
        <v>51.22</v>
      </c>
      <c r="P7" s="2">
        <v>51.22</v>
      </c>
      <c r="Q7" s="2">
        <v>51.22</v>
      </c>
      <c r="R7" s="2">
        <v>51.22</v>
      </c>
      <c r="S7" s="2">
        <v>51.22</v>
      </c>
      <c r="T7" s="2">
        <v>51.22</v>
      </c>
      <c r="U7" s="2">
        <v>51.22</v>
      </c>
      <c r="V7" s="2">
        <v>51.22</v>
      </c>
      <c r="W7" s="2">
        <v>51.22</v>
      </c>
      <c r="X7" s="2">
        <v>51.22</v>
      </c>
      <c r="Y7" s="2">
        <v>51.22</v>
      </c>
      <c r="Z7" s="2">
        <v>51.22</v>
      </c>
      <c r="AA7" s="2">
        <v>51.22</v>
      </c>
      <c r="AB7" s="2">
        <v>51.22</v>
      </c>
      <c r="AC7" s="2">
        <v>51.22</v>
      </c>
      <c r="AD7" s="2">
        <v>51.22</v>
      </c>
      <c r="AE7" s="2">
        <v>51.22</v>
      </c>
      <c r="AF7" s="2">
        <v>51.22</v>
      </c>
      <c r="AG7" s="2">
        <v>51.22</v>
      </c>
      <c r="AH7" s="2">
        <v>51.22</v>
      </c>
      <c r="AI7" s="2">
        <v>51.22</v>
      </c>
      <c r="AJ7" s="2">
        <v>51.22</v>
      </c>
      <c r="AK7" s="2">
        <v>51.22</v>
      </c>
      <c r="AL7" s="2">
        <v>51.22</v>
      </c>
      <c r="AM7" s="2">
        <v>51.22</v>
      </c>
      <c r="AN7" s="2">
        <v>51.22</v>
      </c>
      <c r="AO7" s="2">
        <v>51.22</v>
      </c>
      <c r="AP7" s="2">
        <v>51.22</v>
      </c>
    </row>
    <row r="8" spans="1:42" x14ac:dyDescent="0.3">
      <c r="A8" s="2">
        <v>1</v>
      </c>
      <c r="B8" s="2" t="s">
        <v>9</v>
      </c>
      <c r="C8" s="2" t="s">
        <v>10</v>
      </c>
      <c r="D8" s="2">
        <v>7</v>
      </c>
      <c r="E8" s="2" t="s">
        <v>343</v>
      </c>
      <c r="F8" s="2"/>
      <c r="G8" s="2" t="s">
        <v>334</v>
      </c>
      <c r="H8" s="2"/>
      <c r="I8" s="2"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x14ac:dyDescent="0.3">
      <c r="A9" s="2">
        <v>1</v>
      </c>
      <c r="B9" s="2" t="s">
        <v>9</v>
      </c>
      <c r="C9" s="2" t="s">
        <v>10</v>
      </c>
      <c r="D9" s="2">
        <v>8</v>
      </c>
      <c r="E9" s="2" t="s">
        <v>344</v>
      </c>
      <c r="F9" s="2"/>
      <c r="G9" s="2" t="s">
        <v>334</v>
      </c>
      <c r="H9" s="2"/>
      <c r="I9" s="2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x14ac:dyDescent="0.3">
      <c r="A10" s="2">
        <v>1</v>
      </c>
      <c r="B10" s="2" t="s">
        <v>9</v>
      </c>
      <c r="C10" s="2" t="s">
        <v>10</v>
      </c>
      <c r="D10" s="2">
        <v>9</v>
      </c>
      <c r="E10" s="2" t="s">
        <v>345</v>
      </c>
      <c r="F10" s="2"/>
      <c r="G10" s="2" t="s">
        <v>334</v>
      </c>
      <c r="H10" s="2"/>
      <c r="I10" s="2">
        <v>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3">
      <c r="A11" s="2">
        <v>1</v>
      </c>
      <c r="B11" s="2" t="s">
        <v>9</v>
      </c>
      <c r="C11" s="2" t="s">
        <v>10</v>
      </c>
      <c r="D11" s="2">
        <v>10</v>
      </c>
      <c r="E11" s="2" t="s">
        <v>346</v>
      </c>
      <c r="F11" s="2"/>
      <c r="G11" s="2" t="s">
        <v>334</v>
      </c>
      <c r="H11" s="2"/>
      <c r="I11" s="2"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x14ac:dyDescent="0.3">
      <c r="A12" s="48">
        <v>2</v>
      </c>
      <c r="B12" s="48" t="s">
        <v>15</v>
      </c>
      <c r="C12" s="48" t="s">
        <v>16</v>
      </c>
      <c r="D12" s="48">
        <v>1</v>
      </c>
      <c r="E12" s="48" t="s">
        <v>333</v>
      </c>
      <c r="F12" s="48"/>
      <c r="G12" s="48" t="s">
        <v>347</v>
      </c>
      <c r="H12" s="48"/>
      <c r="I12" s="48">
        <v>0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</row>
    <row r="13" spans="1:42" x14ac:dyDescent="0.3">
      <c r="A13" s="48">
        <v>2</v>
      </c>
      <c r="B13" s="48" t="s">
        <v>15</v>
      </c>
      <c r="C13" s="48" t="s">
        <v>16</v>
      </c>
      <c r="D13" s="48">
        <v>2</v>
      </c>
      <c r="E13" s="48" t="s">
        <v>335</v>
      </c>
      <c r="F13" s="48"/>
      <c r="G13" s="48" t="s">
        <v>334</v>
      </c>
      <c r="H13" s="48"/>
      <c r="I13" s="48">
        <v>0</v>
      </c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</row>
    <row r="14" spans="1:42" x14ac:dyDescent="0.3">
      <c r="A14" s="48">
        <v>2</v>
      </c>
      <c r="B14" s="48" t="s">
        <v>15</v>
      </c>
      <c r="C14" s="48" t="s">
        <v>16</v>
      </c>
      <c r="D14" s="48">
        <v>3</v>
      </c>
      <c r="E14" s="48" t="s">
        <v>336</v>
      </c>
      <c r="F14" s="48" t="s">
        <v>337</v>
      </c>
      <c r="G14" s="48" t="s">
        <v>338</v>
      </c>
      <c r="H14" s="48" t="s">
        <v>422</v>
      </c>
      <c r="I14" s="49">
        <v>0</v>
      </c>
      <c r="J14" s="49">
        <v>5.3907161306582845</v>
      </c>
      <c r="K14" s="49">
        <v>6.5644229858941596</v>
      </c>
      <c r="L14" s="48">
        <v>5.5564523361133524</v>
      </c>
      <c r="M14" s="48">
        <v>5.1476355247981553</v>
      </c>
      <c r="N14" s="48">
        <v>7.6421156697973309</v>
      </c>
      <c r="O14" s="48">
        <v>20.587188612099641</v>
      </c>
      <c r="P14" s="48">
        <v>7.645977011494252</v>
      </c>
      <c r="Q14" s="48">
        <v>6.1207540395807651</v>
      </c>
      <c r="R14" s="48">
        <v>5.4193940999851762</v>
      </c>
      <c r="S14" s="48">
        <v>5.0577126388506697</v>
      </c>
      <c r="T14" s="48">
        <v>4.3672513382698801</v>
      </c>
      <c r="U14" s="48">
        <v>3.6767900376890892</v>
      </c>
      <c r="V14" s="48">
        <v>2.9863287371082987</v>
      </c>
      <c r="W14" s="48">
        <v>2.9962609192843663</v>
      </c>
      <c r="X14" s="48">
        <v>3.0061931014604339</v>
      </c>
      <c r="Y14" s="48">
        <v>3.0161252836365011</v>
      </c>
      <c r="Z14" s="48">
        <v>3.0260574658125683</v>
      </c>
      <c r="AA14" s="48">
        <v>3.0359896479886355</v>
      </c>
      <c r="AB14" s="48">
        <v>3.0459218301647031</v>
      </c>
      <c r="AC14" s="48">
        <v>3.0558540123407707</v>
      </c>
      <c r="AD14" s="48">
        <v>3.0657861945168379</v>
      </c>
      <c r="AE14" s="48">
        <v>3.0757183766929055</v>
      </c>
      <c r="AF14" s="48">
        <v>3.0856505588689727</v>
      </c>
      <c r="AG14" s="48">
        <v>3.0955827410450407</v>
      </c>
      <c r="AH14" s="48">
        <v>3.1055149232211079</v>
      </c>
      <c r="AI14" s="48">
        <v>3.1154471053971755</v>
      </c>
      <c r="AJ14" s="48">
        <v>3.1253792875732422</v>
      </c>
      <c r="AK14" s="48">
        <v>3.1353114697493099</v>
      </c>
      <c r="AL14" s="48">
        <v>3.1452436519253775</v>
      </c>
      <c r="AM14" s="48">
        <v>3.1551758341014451</v>
      </c>
      <c r="AN14" s="48">
        <v>3.1651080162775123</v>
      </c>
      <c r="AO14" s="48">
        <v>3.1750401984535794</v>
      </c>
      <c r="AP14" s="48">
        <v>3.1849723806296484</v>
      </c>
    </row>
    <row r="15" spans="1:42" x14ac:dyDescent="0.3">
      <c r="A15" s="48">
        <v>2</v>
      </c>
      <c r="B15" s="48" t="s">
        <v>15</v>
      </c>
      <c r="C15" s="48" t="s">
        <v>16</v>
      </c>
      <c r="D15" s="48">
        <v>4</v>
      </c>
      <c r="E15" s="48" t="s">
        <v>339</v>
      </c>
      <c r="F15" s="48"/>
      <c r="G15" s="48" t="s">
        <v>334</v>
      </c>
      <c r="H15" s="48"/>
      <c r="I15" s="48">
        <v>0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</row>
    <row r="16" spans="1:42" x14ac:dyDescent="0.3">
      <c r="A16" s="48">
        <v>2</v>
      </c>
      <c r="B16" s="48" t="s">
        <v>15</v>
      </c>
      <c r="C16" s="48" t="s">
        <v>16</v>
      </c>
      <c r="D16" s="48">
        <v>5</v>
      </c>
      <c r="E16" s="48" t="s">
        <v>340</v>
      </c>
      <c r="F16" s="48"/>
      <c r="G16" s="48" t="s">
        <v>334</v>
      </c>
      <c r="H16" s="48"/>
      <c r="I16" s="48">
        <v>0</v>
      </c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</row>
    <row r="17" spans="1:42" x14ac:dyDescent="0.3">
      <c r="A17" s="48">
        <v>2</v>
      </c>
      <c r="B17" s="48" t="s">
        <v>15</v>
      </c>
      <c r="C17" s="48" t="s">
        <v>16</v>
      </c>
      <c r="D17" s="48">
        <v>6</v>
      </c>
      <c r="E17" s="48" t="s">
        <v>341</v>
      </c>
      <c r="F17" s="48"/>
      <c r="G17" s="48" t="s">
        <v>334</v>
      </c>
      <c r="H17" s="48"/>
      <c r="I17" s="48">
        <v>0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</row>
    <row r="18" spans="1:42" x14ac:dyDescent="0.3">
      <c r="A18" s="48">
        <v>2</v>
      </c>
      <c r="B18" s="48" t="s">
        <v>15</v>
      </c>
      <c r="C18" s="48" t="s">
        <v>16</v>
      </c>
      <c r="D18" s="48">
        <v>7</v>
      </c>
      <c r="E18" s="48" t="s">
        <v>343</v>
      </c>
      <c r="F18" s="48"/>
      <c r="G18" s="48" t="s">
        <v>338</v>
      </c>
      <c r="H18" s="48"/>
      <c r="I18" s="48">
        <v>0</v>
      </c>
      <c r="J18" s="91">
        <v>0</v>
      </c>
      <c r="K18" s="91">
        <v>0</v>
      </c>
      <c r="L18" s="91">
        <v>0</v>
      </c>
      <c r="M18" s="91">
        <v>0</v>
      </c>
      <c r="N18" s="91">
        <v>0</v>
      </c>
      <c r="O18" s="91">
        <v>0</v>
      </c>
      <c r="P18" s="91">
        <v>0</v>
      </c>
      <c r="Q18" s="91">
        <v>0</v>
      </c>
      <c r="R18" s="91">
        <v>0</v>
      </c>
      <c r="S18" s="91">
        <v>0</v>
      </c>
      <c r="T18" s="91">
        <v>0</v>
      </c>
      <c r="U18" s="91">
        <v>0</v>
      </c>
      <c r="V18" s="91">
        <v>0</v>
      </c>
      <c r="W18" s="91">
        <v>0</v>
      </c>
      <c r="X18" s="91">
        <v>0</v>
      </c>
      <c r="Y18" s="91">
        <v>0</v>
      </c>
      <c r="Z18" s="91">
        <v>0</v>
      </c>
      <c r="AA18" s="91">
        <v>0</v>
      </c>
      <c r="AB18" s="91">
        <v>0</v>
      </c>
      <c r="AC18" s="91">
        <v>0</v>
      </c>
      <c r="AD18" s="91">
        <v>0</v>
      </c>
      <c r="AE18" s="91">
        <v>0</v>
      </c>
      <c r="AF18" s="91">
        <v>0</v>
      </c>
      <c r="AG18" s="91">
        <v>0</v>
      </c>
      <c r="AH18" s="91">
        <v>0</v>
      </c>
      <c r="AI18" s="91">
        <v>0</v>
      </c>
      <c r="AJ18" s="91">
        <v>0</v>
      </c>
      <c r="AK18" s="91">
        <v>0</v>
      </c>
      <c r="AL18" s="91">
        <v>0</v>
      </c>
      <c r="AM18" s="91">
        <v>0</v>
      </c>
      <c r="AN18" s="91">
        <v>0</v>
      </c>
      <c r="AO18" s="91">
        <v>0</v>
      </c>
      <c r="AP18" s="91">
        <v>0</v>
      </c>
    </row>
    <row r="19" spans="1:42" x14ac:dyDescent="0.3">
      <c r="A19" s="48">
        <v>2</v>
      </c>
      <c r="B19" s="48" t="s">
        <v>15</v>
      </c>
      <c r="C19" s="48" t="s">
        <v>16</v>
      </c>
      <c r="D19" s="48">
        <v>8</v>
      </c>
      <c r="E19" s="48" t="s">
        <v>344</v>
      </c>
      <c r="F19" s="48"/>
      <c r="G19" s="48" t="s">
        <v>334</v>
      </c>
      <c r="H19" s="48"/>
      <c r="I19" s="48">
        <v>0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</row>
    <row r="20" spans="1:42" x14ac:dyDescent="0.3">
      <c r="A20" s="48">
        <v>2</v>
      </c>
      <c r="B20" s="48" t="s">
        <v>15</v>
      </c>
      <c r="C20" s="48" t="s">
        <v>16</v>
      </c>
      <c r="D20" s="48">
        <v>9</v>
      </c>
      <c r="E20" s="48" t="s">
        <v>345</v>
      </c>
      <c r="F20" s="48"/>
      <c r="G20" s="48" t="s">
        <v>334</v>
      </c>
      <c r="H20" s="48"/>
      <c r="I20" s="48">
        <v>0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</row>
    <row r="21" spans="1:42" x14ac:dyDescent="0.3">
      <c r="A21" s="48">
        <v>2</v>
      </c>
      <c r="B21" s="48" t="s">
        <v>15</v>
      </c>
      <c r="C21" s="48" t="s">
        <v>16</v>
      </c>
      <c r="D21" s="48">
        <v>10</v>
      </c>
      <c r="E21" s="48" t="s">
        <v>346</v>
      </c>
      <c r="F21" s="48"/>
      <c r="G21" s="48" t="s">
        <v>334</v>
      </c>
      <c r="H21" s="48"/>
      <c r="I21" s="48">
        <v>0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</row>
    <row r="22" spans="1:42" x14ac:dyDescent="0.3">
      <c r="A22" s="2">
        <v>3</v>
      </c>
      <c r="B22" s="2" t="s">
        <v>17</v>
      </c>
      <c r="C22" s="2" t="s">
        <v>18</v>
      </c>
      <c r="D22" s="2">
        <v>1</v>
      </c>
      <c r="E22" s="2" t="s">
        <v>333</v>
      </c>
      <c r="F22" s="2"/>
      <c r="G22" s="2" t="s">
        <v>334</v>
      </c>
      <c r="H22" s="2"/>
      <c r="I22" s="2"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3">
      <c r="A23" s="2">
        <v>3</v>
      </c>
      <c r="B23" s="2" t="s">
        <v>17</v>
      </c>
      <c r="C23" s="2" t="s">
        <v>18</v>
      </c>
      <c r="D23" s="2">
        <v>2</v>
      </c>
      <c r="E23" s="2" t="s">
        <v>335</v>
      </c>
      <c r="F23" s="2"/>
      <c r="G23" s="2" t="s">
        <v>334</v>
      </c>
      <c r="H23" s="2"/>
      <c r="I23" s="2"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x14ac:dyDescent="0.3">
      <c r="A24" s="2">
        <v>3</v>
      </c>
      <c r="B24" s="2" t="s">
        <v>17</v>
      </c>
      <c r="C24" s="2" t="s">
        <v>18</v>
      </c>
      <c r="D24" s="2">
        <v>3</v>
      </c>
      <c r="E24" s="2" t="s">
        <v>336</v>
      </c>
      <c r="F24" s="2" t="s">
        <v>337</v>
      </c>
      <c r="G24" s="2" t="s">
        <v>348</v>
      </c>
      <c r="H24" s="2" t="s">
        <v>422</v>
      </c>
      <c r="I24" s="47">
        <v>1.9</v>
      </c>
      <c r="J24" s="47">
        <v>19.948186528497409</v>
      </c>
      <c r="K24" s="2">
        <v>18.652849740932641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3">
      <c r="A25" s="2">
        <v>3</v>
      </c>
      <c r="B25" s="2" t="s">
        <v>17</v>
      </c>
      <c r="C25" s="2" t="s">
        <v>18</v>
      </c>
      <c r="D25" s="2">
        <v>4</v>
      </c>
      <c r="E25" s="2" t="s">
        <v>339</v>
      </c>
      <c r="F25" s="2"/>
      <c r="G25" s="2" t="s">
        <v>334</v>
      </c>
      <c r="H25" s="2"/>
      <c r="I25" s="2"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x14ac:dyDescent="0.3">
      <c r="A26" s="2">
        <v>3</v>
      </c>
      <c r="B26" s="2" t="s">
        <v>17</v>
      </c>
      <c r="C26" s="2" t="s">
        <v>18</v>
      </c>
      <c r="D26" s="2">
        <v>5</v>
      </c>
      <c r="E26" s="2" t="s">
        <v>340</v>
      </c>
      <c r="F26" s="2"/>
      <c r="G26" s="2" t="s">
        <v>334</v>
      </c>
      <c r="H26" s="2"/>
      <c r="I26" s="2"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3">
      <c r="A27" s="2">
        <v>3</v>
      </c>
      <c r="B27" s="2" t="s">
        <v>17</v>
      </c>
      <c r="C27" s="2" t="s">
        <v>18</v>
      </c>
      <c r="D27" s="2">
        <v>6</v>
      </c>
      <c r="E27" s="2" t="s">
        <v>341</v>
      </c>
      <c r="F27" s="2"/>
      <c r="G27" s="2" t="s">
        <v>334</v>
      </c>
      <c r="H27" s="2"/>
      <c r="I27" s="2"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x14ac:dyDescent="0.3">
      <c r="A28" s="2">
        <v>3</v>
      </c>
      <c r="B28" s="2" t="s">
        <v>17</v>
      </c>
      <c r="C28" s="2" t="s">
        <v>18</v>
      </c>
      <c r="D28" s="2">
        <v>7</v>
      </c>
      <c r="E28" s="2" t="s">
        <v>343</v>
      </c>
      <c r="F28" s="2"/>
      <c r="G28" s="2" t="s">
        <v>334</v>
      </c>
      <c r="H28" s="2"/>
      <c r="I28" s="2"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3">
      <c r="A29" s="2">
        <v>3</v>
      </c>
      <c r="B29" s="2" t="s">
        <v>17</v>
      </c>
      <c r="C29" s="2" t="s">
        <v>18</v>
      </c>
      <c r="D29" s="2">
        <v>8</v>
      </c>
      <c r="E29" s="2" t="s">
        <v>344</v>
      </c>
      <c r="F29" s="2"/>
      <c r="G29" s="2" t="s">
        <v>334</v>
      </c>
      <c r="H29" s="2"/>
      <c r="I29" s="2"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x14ac:dyDescent="0.3">
      <c r="A30" s="2">
        <v>3</v>
      </c>
      <c r="B30" s="2" t="s">
        <v>17</v>
      </c>
      <c r="C30" s="2" t="s">
        <v>18</v>
      </c>
      <c r="D30" s="2">
        <v>9</v>
      </c>
      <c r="E30" s="2" t="s">
        <v>345</v>
      </c>
      <c r="F30" s="2"/>
      <c r="G30" s="2" t="s">
        <v>334</v>
      </c>
      <c r="H30" s="2"/>
      <c r="I30" s="2">
        <v>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3">
      <c r="A31" s="2">
        <v>3</v>
      </c>
      <c r="B31" s="2" t="s">
        <v>17</v>
      </c>
      <c r="C31" s="2" t="s">
        <v>18</v>
      </c>
      <c r="D31" s="2">
        <v>10</v>
      </c>
      <c r="E31" s="2" t="s">
        <v>346</v>
      </c>
      <c r="F31" s="2"/>
      <c r="G31" s="2" t="s">
        <v>334</v>
      </c>
      <c r="H31" s="2"/>
      <c r="I31" s="2"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x14ac:dyDescent="0.3">
      <c r="A32" s="48">
        <v>4</v>
      </c>
      <c r="B32" s="48" t="s">
        <v>19</v>
      </c>
      <c r="C32" s="48" t="s">
        <v>20</v>
      </c>
      <c r="D32" s="48">
        <v>1</v>
      </c>
      <c r="E32" s="48" t="s">
        <v>333</v>
      </c>
      <c r="F32" s="48"/>
      <c r="G32" s="48" t="s">
        <v>334</v>
      </c>
      <c r="H32" s="48"/>
      <c r="I32" s="48">
        <v>0</v>
      </c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</row>
    <row r="33" spans="1:42" x14ac:dyDescent="0.3">
      <c r="A33" s="48">
        <v>4</v>
      </c>
      <c r="B33" s="48" t="s">
        <v>19</v>
      </c>
      <c r="C33" s="48" t="s">
        <v>20</v>
      </c>
      <c r="D33" s="48">
        <v>2</v>
      </c>
      <c r="E33" s="48" t="s">
        <v>335</v>
      </c>
      <c r="F33" s="48"/>
      <c r="G33" s="48" t="s">
        <v>334</v>
      </c>
      <c r="H33" s="48"/>
      <c r="I33" s="48">
        <v>0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</row>
    <row r="34" spans="1:42" x14ac:dyDescent="0.3">
      <c r="A34" s="48">
        <v>4</v>
      </c>
      <c r="B34" s="48" t="s">
        <v>19</v>
      </c>
      <c r="C34" s="48" t="s">
        <v>20</v>
      </c>
      <c r="D34" s="48">
        <v>3</v>
      </c>
      <c r="E34" s="48" t="s">
        <v>336</v>
      </c>
      <c r="F34" s="48" t="s">
        <v>337</v>
      </c>
      <c r="G34" s="48" t="s">
        <v>348</v>
      </c>
      <c r="H34" s="48" t="s">
        <v>423</v>
      </c>
      <c r="I34" s="49">
        <v>1.9</v>
      </c>
      <c r="J34" s="49">
        <v>26.169590643274852</v>
      </c>
      <c r="K34" s="49">
        <v>22.807017543859647</v>
      </c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</row>
    <row r="35" spans="1:42" x14ac:dyDescent="0.3">
      <c r="A35" s="48">
        <v>4</v>
      </c>
      <c r="B35" s="48" t="s">
        <v>19</v>
      </c>
      <c r="C35" s="48" t="s">
        <v>20</v>
      </c>
      <c r="D35" s="48">
        <v>4</v>
      </c>
      <c r="E35" s="48" t="s">
        <v>339</v>
      </c>
      <c r="F35" s="48"/>
      <c r="G35" s="48" t="s">
        <v>334</v>
      </c>
      <c r="H35" s="48"/>
      <c r="I35" s="48">
        <v>0</v>
      </c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</row>
    <row r="36" spans="1:42" x14ac:dyDescent="0.3">
      <c r="A36" s="48">
        <v>4</v>
      </c>
      <c r="B36" s="48" t="s">
        <v>19</v>
      </c>
      <c r="C36" s="48" t="s">
        <v>20</v>
      </c>
      <c r="D36" s="48">
        <v>5</v>
      </c>
      <c r="E36" s="48" t="s">
        <v>340</v>
      </c>
      <c r="F36" s="48"/>
      <c r="G36" s="48" t="s">
        <v>334</v>
      </c>
      <c r="H36" s="48"/>
      <c r="I36" s="48">
        <v>0</v>
      </c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</row>
    <row r="37" spans="1:42" x14ac:dyDescent="0.3">
      <c r="A37" s="48">
        <v>4</v>
      </c>
      <c r="B37" s="48" t="s">
        <v>19</v>
      </c>
      <c r="C37" s="48" t="s">
        <v>20</v>
      </c>
      <c r="D37" s="48">
        <v>6</v>
      </c>
      <c r="E37" s="48" t="s">
        <v>341</v>
      </c>
      <c r="F37" s="48"/>
      <c r="G37" s="48" t="s">
        <v>334</v>
      </c>
      <c r="H37" s="48"/>
      <c r="I37" s="48">
        <v>0</v>
      </c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</row>
    <row r="38" spans="1:42" x14ac:dyDescent="0.3">
      <c r="A38" s="48">
        <v>4</v>
      </c>
      <c r="B38" s="48" t="s">
        <v>19</v>
      </c>
      <c r="C38" s="48" t="s">
        <v>20</v>
      </c>
      <c r="D38" s="48">
        <v>7</v>
      </c>
      <c r="E38" s="48" t="s">
        <v>343</v>
      </c>
      <c r="F38" s="48"/>
      <c r="G38" s="48" t="s">
        <v>334</v>
      </c>
      <c r="H38" s="48"/>
      <c r="I38" s="48">
        <v>0</v>
      </c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</row>
    <row r="39" spans="1:42" x14ac:dyDescent="0.3">
      <c r="A39" s="48">
        <v>4</v>
      </c>
      <c r="B39" s="48" t="s">
        <v>19</v>
      </c>
      <c r="C39" s="48" t="s">
        <v>20</v>
      </c>
      <c r="D39" s="48">
        <v>8</v>
      </c>
      <c r="E39" s="48" t="s">
        <v>344</v>
      </c>
      <c r="F39" s="48"/>
      <c r="G39" s="48" t="s">
        <v>334</v>
      </c>
      <c r="H39" s="48"/>
      <c r="I39" s="48">
        <v>0</v>
      </c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</row>
    <row r="40" spans="1:42" x14ac:dyDescent="0.3">
      <c r="A40" s="48">
        <v>4</v>
      </c>
      <c r="B40" s="48" t="s">
        <v>19</v>
      </c>
      <c r="C40" s="48" t="s">
        <v>20</v>
      </c>
      <c r="D40" s="48">
        <v>9</v>
      </c>
      <c r="E40" s="48" t="s">
        <v>345</v>
      </c>
      <c r="F40" s="48"/>
      <c r="G40" s="48" t="s">
        <v>334</v>
      </c>
      <c r="H40" s="48"/>
      <c r="I40" s="48">
        <v>0</v>
      </c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</row>
    <row r="41" spans="1:42" x14ac:dyDescent="0.3">
      <c r="A41" s="48">
        <v>4</v>
      </c>
      <c r="B41" s="48" t="s">
        <v>19</v>
      </c>
      <c r="C41" s="48" t="s">
        <v>20</v>
      </c>
      <c r="D41" s="48">
        <v>10</v>
      </c>
      <c r="E41" s="48" t="s">
        <v>346</v>
      </c>
      <c r="F41" s="48"/>
      <c r="G41" s="48" t="s">
        <v>334</v>
      </c>
      <c r="H41" s="48"/>
      <c r="I41" s="48">
        <v>0</v>
      </c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</row>
    <row r="42" spans="1:42" x14ac:dyDescent="0.3">
      <c r="A42" s="2">
        <v>5</v>
      </c>
      <c r="B42" s="2" t="s">
        <v>21</v>
      </c>
      <c r="C42" s="2" t="s">
        <v>22</v>
      </c>
      <c r="D42" s="2">
        <v>1</v>
      </c>
      <c r="E42" s="2" t="s">
        <v>333</v>
      </c>
      <c r="F42" s="2"/>
      <c r="G42" s="2" t="s">
        <v>334</v>
      </c>
      <c r="H42" s="2"/>
      <c r="I42" s="2"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3">
      <c r="A43" s="2">
        <v>5</v>
      </c>
      <c r="B43" s="2" t="s">
        <v>21</v>
      </c>
      <c r="C43" s="2" t="s">
        <v>22</v>
      </c>
      <c r="D43" s="2">
        <v>2</v>
      </c>
      <c r="E43" s="2" t="s">
        <v>335</v>
      </c>
      <c r="F43" s="2"/>
      <c r="G43" s="2" t="s">
        <v>334</v>
      </c>
      <c r="H43" s="2"/>
      <c r="I43" s="2"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</row>
    <row r="44" spans="1:42" x14ac:dyDescent="0.3">
      <c r="A44" s="2">
        <v>5</v>
      </c>
      <c r="B44" s="2" t="s">
        <v>21</v>
      </c>
      <c r="C44" s="2" t="s">
        <v>22</v>
      </c>
      <c r="D44" s="2">
        <v>3</v>
      </c>
      <c r="E44" s="2" t="s">
        <v>336</v>
      </c>
      <c r="F44" s="2" t="s">
        <v>337</v>
      </c>
      <c r="G44" s="2" t="s">
        <v>348</v>
      </c>
      <c r="H44" s="2" t="s">
        <v>423</v>
      </c>
      <c r="I44" s="47">
        <v>1.9</v>
      </c>
      <c r="J44" s="47">
        <v>28.635960312978945</v>
      </c>
      <c r="K44" s="2">
        <v>26.821005081874645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3">
      <c r="A45" s="2">
        <v>5</v>
      </c>
      <c r="B45" s="2" t="s">
        <v>21</v>
      </c>
      <c r="C45" s="2" t="s">
        <v>22</v>
      </c>
      <c r="D45" s="2">
        <v>4</v>
      </c>
      <c r="E45" s="2" t="s">
        <v>339</v>
      </c>
      <c r="F45" s="2"/>
      <c r="G45" s="2" t="s">
        <v>334</v>
      </c>
      <c r="H45" s="2"/>
      <c r="I45" s="2"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6" spans="1:42" x14ac:dyDescent="0.3">
      <c r="A46" s="2">
        <v>5</v>
      </c>
      <c r="B46" s="2" t="s">
        <v>21</v>
      </c>
      <c r="C46" s="2" t="s">
        <v>22</v>
      </c>
      <c r="D46" s="2">
        <v>5</v>
      </c>
      <c r="E46" s="2" t="s">
        <v>340</v>
      </c>
      <c r="F46" s="2"/>
      <c r="G46" s="2" t="s">
        <v>334</v>
      </c>
      <c r="H46" s="2"/>
      <c r="I46" s="2">
        <v>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</row>
    <row r="47" spans="1:42" x14ac:dyDescent="0.3">
      <c r="A47" s="2">
        <v>5</v>
      </c>
      <c r="B47" s="2" t="s">
        <v>21</v>
      </c>
      <c r="C47" s="2" t="s">
        <v>22</v>
      </c>
      <c r="D47" s="2">
        <v>6</v>
      </c>
      <c r="E47" s="2" t="s">
        <v>341</v>
      </c>
      <c r="F47" s="2"/>
      <c r="G47" s="2" t="s">
        <v>334</v>
      </c>
      <c r="H47" s="2"/>
      <c r="I47" s="2">
        <v>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</row>
    <row r="48" spans="1:42" x14ac:dyDescent="0.3">
      <c r="A48" s="2">
        <v>5</v>
      </c>
      <c r="B48" s="2" t="s">
        <v>21</v>
      </c>
      <c r="C48" s="2" t="s">
        <v>22</v>
      </c>
      <c r="D48" s="2">
        <v>7</v>
      </c>
      <c r="E48" s="2" t="s">
        <v>343</v>
      </c>
      <c r="F48" s="2"/>
      <c r="G48" s="2" t="s">
        <v>334</v>
      </c>
      <c r="H48" s="2"/>
      <c r="I48" s="2">
        <v>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</row>
    <row r="49" spans="1:42" x14ac:dyDescent="0.3">
      <c r="A49" s="2">
        <v>5</v>
      </c>
      <c r="B49" s="2" t="s">
        <v>21</v>
      </c>
      <c r="C49" s="2" t="s">
        <v>22</v>
      </c>
      <c r="D49" s="2">
        <v>8</v>
      </c>
      <c r="E49" s="2" t="s">
        <v>344</v>
      </c>
      <c r="F49" s="2"/>
      <c r="G49" s="2" t="s">
        <v>334</v>
      </c>
      <c r="H49" s="2"/>
      <c r="I49" s="2">
        <v>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  <row r="50" spans="1:42" x14ac:dyDescent="0.3">
      <c r="A50" s="2">
        <v>5</v>
      </c>
      <c r="B50" s="2" t="s">
        <v>21</v>
      </c>
      <c r="C50" s="2" t="s">
        <v>22</v>
      </c>
      <c r="D50" s="2">
        <v>9</v>
      </c>
      <c r="E50" s="2" t="s">
        <v>345</v>
      </c>
      <c r="F50" s="2"/>
      <c r="G50" s="2" t="s">
        <v>334</v>
      </c>
      <c r="H50" s="2"/>
      <c r="I50" s="2">
        <v>0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</row>
    <row r="51" spans="1:42" x14ac:dyDescent="0.3">
      <c r="A51" s="2">
        <v>5</v>
      </c>
      <c r="B51" s="2" t="s">
        <v>21</v>
      </c>
      <c r="C51" s="2" t="s">
        <v>22</v>
      </c>
      <c r="D51" s="2">
        <v>10</v>
      </c>
      <c r="E51" s="2" t="s">
        <v>346</v>
      </c>
      <c r="F51" s="2"/>
      <c r="G51" s="2" t="s">
        <v>334</v>
      </c>
      <c r="H51" s="2"/>
      <c r="I51" s="2">
        <v>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</row>
    <row r="52" spans="1:42" x14ac:dyDescent="0.3">
      <c r="A52" s="48">
        <v>6</v>
      </c>
      <c r="B52" s="48" t="s">
        <v>23</v>
      </c>
      <c r="C52" s="48" t="s">
        <v>24</v>
      </c>
      <c r="D52" s="48">
        <v>1</v>
      </c>
      <c r="E52" s="48" t="s">
        <v>333</v>
      </c>
      <c r="F52" s="48"/>
      <c r="G52" s="48" t="s">
        <v>334</v>
      </c>
      <c r="H52" s="48"/>
      <c r="I52" s="48">
        <v>0</v>
      </c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</row>
    <row r="53" spans="1:42" x14ac:dyDescent="0.3">
      <c r="A53" s="48">
        <v>6</v>
      </c>
      <c r="B53" s="48" t="s">
        <v>23</v>
      </c>
      <c r="C53" s="48" t="s">
        <v>24</v>
      </c>
      <c r="D53" s="48">
        <v>2</v>
      </c>
      <c r="E53" s="48" t="s">
        <v>335</v>
      </c>
      <c r="F53" s="48"/>
      <c r="G53" s="48" t="s">
        <v>334</v>
      </c>
      <c r="H53" s="48"/>
      <c r="I53" s="48">
        <v>0</v>
      </c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</row>
    <row r="54" spans="1:42" x14ac:dyDescent="0.3">
      <c r="A54" s="48">
        <v>6</v>
      </c>
      <c r="B54" s="48" t="s">
        <v>23</v>
      </c>
      <c r="C54" s="48" t="s">
        <v>24</v>
      </c>
      <c r="D54" s="48">
        <v>3</v>
      </c>
      <c r="E54" s="48" t="s">
        <v>336</v>
      </c>
      <c r="F54" s="48" t="s">
        <v>337</v>
      </c>
      <c r="G54" s="48" t="s">
        <v>338</v>
      </c>
      <c r="H54" s="48" t="s">
        <v>422</v>
      </c>
      <c r="I54" s="49">
        <v>0</v>
      </c>
      <c r="J54" s="49">
        <v>8.85</v>
      </c>
      <c r="K54" s="49">
        <v>8.85</v>
      </c>
      <c r="L54" s="48">
        <v>8.1199999999999992</v>
      </c>
      <c r="M54" s="48">
        <v>8.3918327089371303</v>
      </c>
      <c r="N54" s="48">
        <v>11.959132393617987</v>
      </c>
      <c r="O54" s="48">
        <v>12.269071228935658</v>
      </c>
      <c r="P54" s="48">
        <v>13.625977544971645</v>
      </c>
      <c r="Q54" s="48">
        <v>12.949156550657246</v>
      </c>
      <c r="R54" s="48">
        <v>12.449248636201601</v>
      </c>
      <c r="S54" s="48">
        <v>12.06165483468533</v>
      </c>
      <c r="T54" s="48">
        <v>12.714754787622711</v>
      </c>
      <c r="U54" s="48">
        <v>13.367854740560094</v>
      </c>
      <c r="V54" s="48">
        <v>14.020954693497474</v>
      </c>
      <c r="W54" s="48">
        <v>14.132096407531293</v>
      </c>
      <c r="X54" s="48">
        <v>14.243238121565115</v>
      </c>
      <c r="Y54" s="48">
        <v>14.354379835598936</v>
      </c>
      <c r="Z54" s="48">
        <v>14.465521549632754</v>
      </c>
      <c r="AA54" s="48">
        <v>14.57666326366658</v>
      </c>
      <c r="AB54" s="48">
        <v>14.687804977700399</v>
      </c>
      <c r="AC54" s="48">
        <v>14.798946691734219</v>
      </c>
      <c r="AD54" s="48">
        <v>14.910088405768041</v>
      </c>
      <c r="AE54" s="48">
        <v>15.02123011980186</v>
      </c>
      <c r="AF54" s="48">
        <v>15.132371833835679</v>
      </c>
      <c r="AG54" s="48">
        <v>15.243513547869499</v>
      </c>
      <c r="AH54" s="48">
        <v>15.354655261903321</v>
      </c>
      <c r="AI54" s="48">
        <v>15.46579697593714</v>
      </c>
      <c r="AJ54" s="48">
        <v>15.576938689970961</v>
      </c>
      <c r="AK54" s="48">
        <v>15.688080404004783</v>
      </c>
      <c r="AL54" s="48">
        <v>15.799222118038601</v>
      </c>
      <c r="AM54" s="48">
        <v>15.910363832072422</v>
      </c>
      <c r="AN54" s="48">
        <v>16.021505546106241</v>
      </c>
      <c r="AO54" s="48">
        <v>16.132647260140065</v>
      </c>
      <c r="AP54" s="48">
        <v>16.243788974173903</v>
      </c>
    </row>
    <row r="55" spans="1:42" x14ac:dyDescent="0.3">
      <c r="A55" s="48">
        <v>6</v>
      </c>
      <c r="B55" s="48" t="s">
        <v>23</v>
      </c>
      <c r="C55" s="48" t="s">
        <v>24</v>
      </c>
      <c r="D55" s="48">
        <v>4</v>
      </c>
      <c r="E55" s="48" t="s">
        <v>339</v>
      </c>
      <c r="F55" s="48"/>
      <c r="G55" s="48" t="s">
        <v>334</v>
      </c>
      <c r="H55" s="48"/>
      <c r="I55" s="48">
        <v>0</v>
      </c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</row>
    <row r="56" spans="1:42" x14ac:dyDescent="0.3">
      <c r="A56" s="48">
        <v>6</v>
      </c>
      <c r="B56" s="48" t="s">
        <v>23</v>
      </c>
      <c r="C56" s="48" t="s">
        <v>24</v>
      </c>
      <c r="D56" s="48">
        <v>5</v>
      </c>
      <c r="E56" s="48" t="s">
        <v>340</v>
      </c>
      <c r="F56" s="48"/>
      <c r="G56" s="48" t="s">
        <v>334</v>
      </c>
      <c r="H56" s="48"/>
      <c r="I56" s="48">
        <v>0</v>
      </c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</row>
    <row r="57" spans="1:42" x14ac:dyDescent="0.3">
      <c r="A57" s="48">
        <v>6</v>
      </c>
      <c r="B57" s="48" t="s">
        <v>23</v>
      </c>
      <c r="C57" s="48" t="s">
        <v>24</v>
      </c>
      <c r="D57" s="48">
        <v>6</v>
      </c>
      <c r="E57" s="48" t="s">
        <v>341</v>
      </c>
      <c r="F57" s="48"/>
      <c r="G57" s="48" t="s">
        <v>334</v>
      </c>
      <c r="H57" s="48"/>
      <c r="I57" s="48">
        <v>0</v>
      </c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</row>
    <row r="58" spans="1:42" x14ac:dyDescent="0.3">
      <c r="A58" s="48">
        <v>6</v>
      </c>
      <c r="B58" s="48" t="s">
        <v>23</v>
      </c>
      <c r="C58" s="48" t="s">
        <v>24</v>
      </c>
      <c r="D58" s="48">
        <v>7</v>
      </c>
      <c r="E58" s="48" t="s">
        <v>343</v>
      </c>
      <c r="F58" s="48"/>
      <c r="G58" s="48" t="s">
        <v>334</v>
      </c>
      <c r="H58" s="48"/>
      <c r="I58" s="48">
        <v>0</v>
      </c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</row>
    <row r="59" spans="1:42" x14ac:dyDescent="0.3">
      <c r="A59" s="48">
        <v>6</v>
      </c>
      <c r="B59" s="48" t="s">
        <v>23</v>
      </c>
      <c r="C59" s="48" t="s">
        <v>24</v>
      </c>
      <c r="D59" s="48">
        <v>8</v>
      </c>
      <c r="E59" s="48" t="s">
        <v>344</v>
      </c>
      <c r="F59" s="48"/>
      <c r="G59" s="48" t="s">
        <v>334</v>
      </c>
      <c r="H59" s="48"/>
      <c r="I59" s="48">
        <v>0</v>
      </c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</row>
    <row r="60" spans="1:42" x14ac:dyDescent="0.3">
      <c r="A60" s="48">
        <v>6</v>
      </c>
      <c r="B60" s="48" t="s">
        <v>23</v>
      </c>
      <c r="C60" s="48" t="s">
        <v>24</v>
      </c>
      <c r="D60" s="48">
        <v>9</v>
      </c>
      <c r="E60" s="48" t="s">
        <v>345</v>
      </c>
      <c r="F60" s="48"/>
      <c r="G60" s="48" t="s">
        <v>334</v>
      </c>
      <c r="H60" s="48"/>
      <c r="I60" s="48">
        <v>0</v>
      </c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</row>
    <row r="61" spans="1:42" x14ac:dyDescent="0.3">
      <c r="A61" s="48">
        <v>6</v>
      </c>
      <c r="B61" s="48" t="s">
        <v>23</v>
      </c>
      <c r="C61" s="48" t="s">
        <v>24</v>
      </c>
      <c r="D61" s="48">
        <v>10</v>
      </c>
      <c r="E61" s="48" t="s">
        <v>346</v>
      </c>
      <c r="F61" s="48"/>
      <c r="G61" s="48" t="s">
        <v>334</v>
      </c>
      <c r="H61" s="48"/>
      <c r="I61" s="48">
        <v>0</v>
      </c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</row>
    <row r="62" spans="1:42" x14ac:dyDescent="0.3">
      <c r="A62" s="2">
        <v>7</v>
      </c>
      <c r="B62" s="2" t="s">
        <v>25</v>
      </c>
      <c r="C62" s="2" t="s">
        <v>26</v>
      </c>
      <c r="D62" s="2">
        <v>1</v>
      </c>
      <c r="E62" s="2" t="s">
        <v>333</v>
      </c>
      <c r="F62" s="2"/>
      <c r="G62" s="2" t="s">
        <v>334</v>
      </c>
      <c r="H62" s="2"/>
      <c r="I62" s="2">
        <v>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</row>
    <row r="63" spans="1:42" x14ac:dyDescent="0.3">
      <c r="A63" s="2">
        <v>7</v>
      </c>
      <c r="B63" s="2" t="s">
        <v>25</v>
      </c>
      <c r="C63" s="2" t="s">
        <v>26</v>
      </c>
      <c r="D63" s="2">
        <v>2</v>
      </c>
      <c r="E63" s="2" t="s">
        <v>335</v>
      </c>
      <c r="F63" s="2"/>
      <c r="G63" s="2" t="s">
        <v>334</v>
      </c>
      <c r="H63" s="2"/>
      <c r="I63" s="2">
        <v>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</row>
    <row r="64" spans="1:42" x14ac:dyDescent="0.3">
      <c r="A64" s="2">
        <v>7</v>
      </c>
      <c r="B64" s="2" t="s">
        <v>25</v>
      </c>
      <c r="C64" s="2" t="s">
        <v>26</v>
      </c>
      <c r="D64" s="2">
        <v>3</v>
      </c>
      <c r="E64" s="2" t="s">
        <v>336</v>
      </c>
      <c r="F64" s="2" t="s">
        <v>337</v>
      </c>
      <c r="G64" s="2" t="s">
        <v>348</v>
      </c>
      <c r="H64" s="2" t="s">
        <v>424</v>
      </c>
      <c r="I64" s="47">
        <v>1.9</v>
      </c>
      <c r="J64" s="47">
        <v>4.4166666666666661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x14ac:dyDescent="0.3">
      <c r="A65" s="2">
        <v>7</v>
      </c>
      <c r="B65" s="2" t="s">
        <v>25</v>
      </c>
      <c r="C65" s="2" t="s">
        <v>26</v>
      </c>
      <c r="D65" s="2">
        <v>4</v>
      </c>
      <c r="E65" s="2" t="s">
        <v>339</v>
      </c>
      <c r="F65" s="2"/>
      <c r="G65" s="2" t="s">
        <v>334</v>
      </c>
      <c r="H65" s="2"/>
      <c r="I65" s="2">
        <v>0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x14ac:dyDescent="0.3">
      <c r="A66" s="2">
        <v>7</v>
      </c>
      <c r="B66" s="2" t="s">
        <v>25</v>
      </c>
      <c r="C66" s="2" t="s">
        <v>26</v>
      </c>
      <c r="D66" s="2">
        <v>5</v>
      </c>
      <c r="E66" s="2" t="s">
        <v>340</v>
      </c>
      <c r="F66" s="2"/>
      <c r="G66" s="2" t="s">
        <v>334</v>
      </c>
      <c r="H66" s="2"/>
      <c r="I66" s="2">
        <v>0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</row>
    <row r="67" spans="1:42" x14ac:dyDescent="0.3">
      <c r="A67" s="2">
        <v>7</v>
      </c>
      <c r="B67" s="2" t="s">
        <v>25</v>
      </c>
      <c r="C67" s="2" t="s">
        <v>26</v>
      </c>
      <c r="D67" s="2">
        <v>6</v>
      </c>
      <c r="E67" s="2" t="s">
        <v>341</v>
      </c>
      <c r="F67" s="2"/>
      <c r="G67" s="2" t="s">
        <v>334</v>
      </c>
      <c r="H67" s="2"/>
      <c r="I67" s="2">
        <v>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1:42" x14ac:dyDescent="0.3">
      <c r="A68" s="2">
        <v>7</v>
      </c>
      <c r="B68" s="2" t="s">
        <v>25</v>
      </c>
      <c r="C68" s="2" t="s">
        <v>26</v>
      </c>
      <c r="D68" s="2">
        <v>7</v>
      </c>
      <c r="E68" s="2" t="s">
        <v>343</v>
      </c>
      <c r="F68" s="2"/>
      <c r="G68" s="2" t="s">
        <v>334</v>
      </c>
      <c r="H68" s="2"/>
      <c r="I68" s="2"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</row>
    <row r="69" spans="1:42" x14ac:dyDescent="0.3">
      <c r="A69" s="2">
        <v>7</v>
      </c>
      <c r="B69" s="2" t="s">
        <v>25</v>
      </c>
      <c r="C69" s="2" t="s">
        <v>26</v>
      </c>
      <c r="D69" s="2">
        <v>8</v>
      </c>
      <c r="E69" s="2" t="s">
        <v>344</v>
      </c>
      <c r="F69" s="2"/>
      <c r="G69" s="2" t="s">
        <v>334</v>
      </c>
      <c r="H69" s="2"/>
      <c r="I69" s="2">
        <v>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</row>
    <row r="70" spans="1:42" x14ac:dyDescent="0.3">
      <c r="A70" s="2">
        <v>7</v>
      </c>
      <c r="B70" s="2" t="s">
        <v>25</v>
      </c>
      <c r="C70" s="2" t="s">
        <v>26</v>
      </c>
      <c r="D70" s="2">
        <v>9</v>
      </c>
      <c r="E70" s="2" t="s">
        <v>345</v>
      </c>
      <c r="F70" s="2"/>
      <c r="G70" s="2" t="s">
        <v>334</v>
      </c>
      <c r="H70" s="2"/>
      <c r="I70" s="2"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</row>
    <row r="71" spans="1:42" x14ac:dyDescent="0.3">
      <c r="A71" s="2">
        <v>7</v>
      </c>
      <c r="B71" s="2" t="s">
        <v>25</v>
      </c>
      <c r="C71" s="2" t="s">
        <v>26</v>
      </c>
      <c r="D71" s="2">
        <v>10</v>
      </c>
      <c r="E71" s="2" t="s">
        <v>346</v>
      </c>
      <c r="F71" s="2"/>
      <c r="G71" s="2" t="s">
        <v>334</v>
      </c>
      <c r="H71" s="2"/>
      <c r="I71" s="2"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1:42" x14ac:dyDescent="0.3">
      <c r="A72" s="48">
        <v>8</v>
      </c>
      <c r="B72" s="48" t="s">
        <v>27</v>
      </c>
      <c r="C72" s="48" t="s">
        <v>28</v>
      </c>
      <c r="D72" s="48">
        <v>1</v>
      </c>
      <c r="E72" s="48" t="s">
        <v>333</v>
      </c>
      <c r="F72" s="48"/>
      <c r="G72" s="48" t="s">
        <v>334</v>
      </c>
      <c r="H72" s="48"/>
      <c r="I72" s="48">
        <v>0</v>
      </c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</row>
    <row r="73" spans="1:42" x14ac:dyDescent="0.3">
      <c r="A73" s="48">
        <v>8</v>
      </c>
      <c r="B73" s="48" t="s">
        <v>27</v>
      </c>
      <c r="C73" s="48" t="s">
        <v>28</v>
      </c>
      <c r="D73" s="48">
        <v>2</v>
      </c>
      <c r="E73" s="48" t="s">
        <v>335</v>
      </c>
      <c r="F73" s="48"/>
      <c r="G73" s="48" t="s">
        <v>334</v>
      </c>
      <c r="H73" s="48"/>
      <c r="I73" s="48">
        <v>0</v>
      </c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</row>
    <row r="74" spans="1:42" x14ac:dyDescent="0.3">
      <c r="A74" s="48">
        <v>8</v>
      </c>
      <c r="B74" s="48" t="s">
        <v>27</v>
      </c>
      <c r="C74" s="48" t="s">
        <v>28</v>
      </c>
      <c r="D74" s="48">
        <v>3</v>
      </c>
      <c r="E74" s="48" t="s">
        <v>336</v>
      </c>
      <c r="F74" s="48" t="s">
        <v>337</v>
      </c>
      <c r="G74" s="48" t="s">
        <v>348</v>
      </c>
      <c r="H74" s="48"/>
      <c r="I74" s="49">
        <v>1.9</v>
      </c>
      <c r="J74" s="49">
        <v>0</v>
      </c>
      <c r="K74" s="49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</row>
    <row r="75" spans="1:42" x14ac:dyDescent="0.3">
      <c r="A75" s="48">
        <v>8</v>
      </c>
      <c r="B75" s="48" t="s">
        <v>27</v>
      </c>
      <c r="C75" s="48" t="s">
        <v>28</v>
      </c>
      <c r="D75" s="48">
        <v>4</v>
      </c>
      <c r="E75" s="48" t="s">
        <v>339</v>
      </c>
      <c r="F75" s="48"/>
      <c r="G75" s="48" t="s">
        <v>334</v>
      </c>
      <c r="H75" s="48"/>
      <c r="I75" s="48">
        <v>0</v>
      </c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</row>
    <row r="76" spans="1:42" x14ac:dyDescent="0.3">
      <c r="A76" s="48">
        <v>8</v>
      </c>
      <c r="B76" s="48" t="s">
        <v>27</v>
      </c>
      <c r="C76" s="48" t="s">
        <v>28</v>
      </c>
      <c r="D76" s="48">
        <v>5</v>
      </c>
      <c r="E76" s="48" t="s">
        <v>340</v>
      </c>
      <c r="F76" s="48"/>
      <c r="G76" s="48" t="s">
        <v>334</v>
      </c>
      <c r="H76" s="48"/>
      <c r="I76" s="48">
        <v>0</v>
      </c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</row>
    <row r="77" spans="1:42" x14ac:dyDescent="0.3">
      <c r="A77" s="48">
        <v>8</v>
      </c>
      <c r="B77" s="48" t="s">
        <v>27</v>
      </c>
      <c r="C77" s="48" t="s">
        <v>28</v>
      </c>
      <c r="D77" s="48">
        <v>6</v>
      </c>
      <c r="E77" s="48" t="s">
        <v>341</v>
      </c>
      <c r="F77" s="48"/>
      <c r="G77" s="48" t="s">
        <v>334</v>
      </c>
      <c r="H77" s="48"/>
      <c r="I77" s="48">
        <v>0</v>
      </c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</row>
    <row r="78" spans="1:42" x14ac:dyDescent="0.3">
      <c r="A78" s="48">
        <v>8</v>
      </c>
      <c r="B78" s="48" t="s">
        <v>27</v>
      </c>
      <c r="C78" s="48" t="s">
        <v>28</v>
      </c>
      <c r="D78" s="48">
        <v>7</v>
      </c>
      <c r="E78" s="48" t="s">
        <v>343</v>
      </c>
      <c r="F78" s="48"/>
      <c r="G78" s="48" t="s">
        <v>334</v>
      </c>
      <c r="H78" s="48"/>
      <c r="I78" s="48">
        <v>0</v>
      </c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</row>
    <row r="79" spans="1:42" x14ac:dyDescent="0.3">
      <c r="A79" s="48">
        <v>8</v>
      </c>
      <c r="B79" s="48" t="s">
        <v>27</v>
      </c>
      <c r="C79" s="48" t="s">
        <v>28</v>
      </c>
      <c r="D79" s="48">
        <v>8</v>
      </c>
      <c r="E79" s="48" t="s">
        <v>344</v>
      </c>
      <c r="F79" s="48"/>
      <c r="G79" s="48" t="s">
        <v>334</v>
      </c>
      <c r="H79" s="48"/>
      <c r="I79" s="48">
        <v>0</v>
      </c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</row>
    <row r="80" spans="1:42" x14ac:dyDescent="0.3">
      <c r="A80" s="48">
        <v>8</v>
      </c>
      <c r="B80" s="48" t="s">
        <v>27</v>
      </c>
      <c r="C80" s="48" t="s">
        <v>28</v>
      </c>
      <c r="D80" s="48">
        <v>9</v>
      </c>
      <c r="E80" s="48" t="s">
        <v>345</v>
      </c>
      <c r="F80" s="48"/>
      <c r="G80" s="48" t="s">
        <v>334</v>
      </c>
      <c r="H80" s="48"/>
      <c r="I80" s="48">
        <v>0</v>
      </c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</row>
    <row r="81" spans="1:42" x14ac:dyDescent="0.3">
      <c r="A81" s="48">
        <v>8</v>
      </c>
      <c r="B81" s="48" t="s">
        <v>27</v>
      </c>
      <c r="C81" s="48" t="s">
        <v>28</v>
      </c>
      <c r="D81" s="48">
        <v>10</v>
      </c>
      <c r="E81" s="48" t="s">
        <v>346</v>
      </c>
      <c r="F81" s="48"/>
      <c r="G81" s="48" t="s">
        <v>334</v>
      </c>
      <c r="H81" s="48"/>
      <c r="I81" s="48">
        <v>0</v>
      </c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</row>
    <row r="82" spans="1:42" x14ac:dyDescent="0.3">
      <c r="A82" s="2">
        <v>9</v>
      </c>
      <c r="B82" s="2" t="s">
        <v>29</v>
      </c>
      <c r="C82" s="2" t="s">
        <v>30</v>
      </c>
      <c r="D82" s="2">
        <v>1</v>
      </c>
      <c r="E82" s="2" t="s">
        <v>333</v>
      </c>
      <c r="F82" s="2"/>
      <c r="G82" s="2" t="s">
        <v>334</v>
      </c>
      <c r="H82" s="2"/>
      <c r="I82" s="2">
        <v>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x14ac:dyDescent="0.3">
      <c r="A83" s="2">
        <v>9</v>
      </c>
      <c r="B83" s="2" t="s">
        <v>29</v>
      </c>
      <c r="C83" s="2" t="s">
        <v>30</v>
      </c>
      <c r="D83" s="2">
        <v>2</v>
      </c>
      <c r="E83" s="2" t="s">
        <v>335</v>
      </c>
      <c r="F83" s="2"/>
      <c r="G83" s="2" t="s">
        <v>334</v>
      </c>
      <c r="H83" s="2"/>
      <c r="I83" s="2">
        <v>0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x14ac:dyDescent="0.3">
      <c r="A84" s="2">
        <v>9</v>
      </c>
      <c r="B84" s="2" t="s">
        <v>29</v>
      </c>
      <c r="C84" s="2" t="s">
        <v>30</v>
      </c>
      <c r="D84" s="2">
        <v>3</v>
      </c>
      <c r="E84" s="2" t="s">
        <v>336</v>
      </c>
      <c r="F84" s="2" t="s">
        <v>337</v>
      </c>
      <c r="G84" s="2" t="s">
        <v>338</v>
      </c>
      <c r="H84" s="2" t="s">
        <v>422</v>
      </c>
      <c r="I84" s="47">
        <v>0</v>
      </c>
      <c r="J84" s="47">
        <v>7.4</v>
      </c>
      <c r="K84" s="2">
        <v>7.4</v>
      </c>
      <c r="L84" s="2">
        <v>4.8</v>
      </c>
      <c r="M84" s="2">
        <v>5.326105471934671</v>
      </c>
      <c r="N84" s="2">
        <v>16.427580925937111</v>
      </c>
      <c r="O84" s="2">
        <v>19.630293581980201</v>
      </c>
      <c r="P84" s="2">
        <v>9.6054085730756125</v>
      </c>
      <c r="Q84" s="2">
        <v>9.1932492576851015</v>
      </c>
      <c r="R84" s="2">
        <v>8.7494913061964876</v>
      </c>
      <c r="S84" s="2">
        <v>7.1288783519117178</v>
      </c>
      <c r="T84" s="2">
        <v>5.5082653976269471</v>
      </c>
      <c r="U84" s="2">
        <v>3.8876524433421777</v>
      </c>
      <c r="V84" s="2">
        <v>3.8711501786281191</v>
      </c>
      <c r="W84" s="2">
        <v>3.8546479139140613</v>
      </c>
      <c r="X84" s="2">
        <v>3.8381456492000021</v>
      </c>
      <c r="Y84" s="2">
        <v>3.8216433844859443</v>
      </c>
      <c r="Z84" s="2">
        <v>3.8051411197718865</v>
      </c>
      <c r="AA84" s="2">
        <v>3.7886388550578283</v>
      </c>
      <c r="AB84" s="2">
        <v>3.7721365903437705</v>
      </c>
      <c r="AC84" s="2">
        <v>3.7556343256297113</v>
      </c>
      <c r="AD84" s="2">
        <v>3.7391320609156522</v>
      </c>
      <c r="AE84" s="2">
        <v>3.7226297962015944</v>
      </c>
      <c r="AF84" s="2">
        <v>3.7061275314875357</v>
      </c>
      <c r="AG84" s="2">
        <v>3.689625266773477</v>
      </c>
      <c r="AH84" s="2">
        <v>3.6731230020594188</v>
      </c>
      <c r="AI84" s="2">
        <v>3.656620737345361</v>
      </c>
      <c r="AJ84" s="2">
        <v>3.6401184726313027</v>
      </c>
      <c r="AK84" s="2">
        <v>3.6236162079172445</v>
      </c>
      <c r="AL84" s="2">
        <v>3.6071139432031858</v>
      </c>
      <c r="AM84" s="2">
        <v>3.5906116784891271</v>
      </c>
      <c r="AN84" s="2">
        <v>3.5741094137750684</v>
      </c>
      <c r="AO84" s="2">
        <v>3.5576071490610133</v>
      </c>
      <c r="AP84" s="2">
        <v>3.5576071490610133</v>
      </c>
    </row>
    <row r="85" spans="1:42" x14ac:dyDescent="0.3">
      <c r="A85" s="2">
        <v>9</v>
      </c>
      <c r="B85" s="2" t="s">
        <v>29</v>
      </c>
      <c r="C85" s="2" t="s">
        <v>30</v>
      </c>
      <c r="D85" s="2">
        <v>4</v>
      </c>
      <c r="E85" s="2" t="s">
        <v>339</v>
      </c>
      <c r="F85" s="2"/>
      <c r="G85" s="2" t="s">
        <v>334</v>
      </c>
      <c r="H85" s="2"/>
      <c r="I85" s="2">
        <v>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x14ac:dyDescent="0.3">
      <c r="A86" s="2">
        <v>9</v>
      </c>
      <c r="B86" s="2" t="s">
        <v>29</v>
      </c>
      <c r="C86" s="2" t="s">
        <v>30</v>
      </c>
      <c r="D86" s="2">
        <v>5</v>
      </c>
      <c r="E86" s="2" t="s">
        <v>340</v>
      </c>
      <c r="F86" s="2"/>
      <c r="G86" s="2" t="s">
        <v>334</v>
      </c>
      <c r="H86" s="2"/>
      <c r="I86" s="2">
        <v>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x14ac:dyDescent="0.3">
      <c r="A87" s="2">
        <v>9</v>
      </c>
      <c r="B87" s="2" t="s">
        <v>29</v>
      </c>
      <c r="C87" s="2" t="s">
        <v>30</v>
      </c>
      <c r="D87" s="2">
        <v>6</v>
      </c>
      <c r="E87" s="2" t="s">
        <v>341</v>
      </c>
      <c r="F87" s="2"/>
      <c r="G87" s="2" t="s">
        <v>334</v>
      </c>
      <c r="H87" s="2"/>
      <c r="I87" s="2">
        <v>0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x14ac:dyDescent="0.3">
      <c r="A88" s="2">
        <v>9</v>
      </c>
      <c r="B88" s="2" t="s">
        <v>29</v>
      </c>
      <c r="C88" s="2" t="s">
        <v>30</v>
      </c>
      <c r="D88" s="2">
        <v>7</v>
      </c>
      <c r="E88" s="2" t="s">
        <v>343</v>
      </c>
      <c r="F88" s="2"/>
      <c r="G88" s="2" t="s">
        <v>334</v>
      </c>
      <c r="H88" s="2"/>
      <c r="I88" s="2">
        <v>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x14ac:dyDescent="0.3">
      <c r="A89" s="2">
        <v>9</v>
      </c>
      <c r="B89" s="2" t="s">
        <v>29</v>
      </c>
      <c r="C89" s="2" t="s">
        <v>30</v>
      </c>
      <c r="D89" s="2">
        <v>8</v>
      </c>
      <c r="E89" s="2" t="s">
        <v>344</v>
      </c>
      <c r="F89" s="2"/>
      <c r="G89" s="2" t="s">
        <v>334</v>
      </c>
      <c r="H89" s="2"/>
      <c r="I89" s="2">
        <v>0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x14ac:dyDescent="0.3">
      <c r="A90" s="2">
        <v>9</v>
      </c>
      <c r="B90" s="2" t="s">
        <v>29</v>
      </c>
      <c r="C90" s="2" t="s">
        <v>30</v>
      </c>
      <c r="D90" s="2">
        <v>9</v>
      </c>
      <c r="E90" s="2" t="s">
        <v>345</v>
      </c>
      <c r="F90" s="2"/>
      <c r="G90" s="2" t="s">
        <v>334</v>
      </c>
      <c r="H90" s="2"/>
      <c r="I90" s="2">
        <v>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x14ac:dyDescent="0.3">
      <c r="A91" s="2">
        <v>9</v>
      </c>
      <c r="B91" s="2" t="s">
        <v>29</v>
      </c>
      <c r="C91" s="2" t="s">
        <v>30</v>
      </c>
      <c r="D91" s="2">
        <v>10</v>
      </c>
      <c r="E91" s="2" t="s">
        <v>346</v>
      </c>
      <c r="F91" s="2"/>
      <c r="G91" s="2" t="s">
        <v>334</v>
      </c>
      <c r="H91" s="2"/>
      <c r="I91" s="2">
        <v>0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x14ac:dyDescent="0.3">
      <c r="A92" s="2">
        <f>A82+1</f>
        <v>10</v>
      </c>
      <c r="B92" s="89" t="s">
        <v>478</v>
      </c>
      <c r="C92" s="56" t="s">
        <v>479</v>
      </c>
      <c r="D92" s="2">
        <v>1</v>
      </c>
      <c r="E92" s="2" t="s">
        <v>333</v>
      </c>
      <c r="F92" s="2"/>
      <c r="G92" s="2" t="s">
        <v>334</v>
      </c>
      <c r="H92" s="2"/>
      <c r="I92" s="2">
        <v>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x14ac:dyDescent="0.3">
      <c r="A93" s="2">
        <f>A92</f>
        <v>10</v>
      </c>
      <c r="B93" s="89" t="s">
        <v>478</v>
      </c>
      <c r="C93" s="56" t="s">
        <v>479</v>
      </c>
      <c r="D93" s="2">
        <v>2</v>
      </c>
      <c r="E93" s="2" t="s">
        <v>335</v>
      </c>
      <c r="F93" s="2"/>
      <c r="G93" s="2" t="s">
        <v>334</v>
      </c>
      <c r="H93" s="2"/>
      <c r="I93" s="2">
        <v>0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x14ac:dyDescent="0.3">
      <c r="A94" s="2">
        <f t="shared" ref="A94:A101" si="0">A93</f>
        <v>10</v>
      </c>
      <c r="B94" s="89" t="s">
        <v>478</v>
      </c>
      <c r="C94" s="56" t="s">
        <v>479</v>
      </c>
      <c r="D94" s="2">
        <v>3</v>
      </c>
      <c r="E94" s="2" t="s">
        <v>336</v>
      </c>
      <c r="F94" s="2" t="s">
        <v>337</v>
      </c>
      <c r="G94" s="2" t="s">
        <v>348</v>
      </c>
      <c r="H94" s="2"/>
      <c r="I94" s="47">
        <v>1.9</v>
      </c>
      <c r="J94" s="47">
        <v>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x14ac:dyDescent="0.3">
      <c r="A95" s="2">
        <f t="shared" si="0"/>
        <v>10</v>
      </c>
      <c r="B95" s="89" t="s">
        <v>478</v>
      </c>
      <c r="C95" s="56" t="s">
        <v>479</v>
      </c>
      <c r="D95" s="2">
        <v>4</v>
      </c>
      <c r="E95" s="2" t="s">
        <v>339</v>
      </c>
      <c r="F95" s="2"/>
      <c r="G95" s="2" t="s">
        <v>334</v>
      </c>
      <c r="H95" s="2"/>
      <c r="I95" s="2">
        <v>0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x14ac:dyDescent="0.3">
      <c r="A96" s="2">
        <f t="shared" si="0"/>
        <v>10</v>
      </c>
      <c r="B96" s="89" t="s">
        <v>478</v>
      </c>
      <c r="C96" s="56" t="s">
        <v>479</v>
      </c>
      <c r="D96" s="2">
        <v>5</v>
      </c>
      <c r="E96" s="2" t="s">
        <v>340</v>
      </c>
      <c r="F96" s="2"/>
      <c r="G96" s="2" t="s">
        <v>334</v>
      </c>
      <c r="H96" s="2"/>
      <c r="I96" s="2">
        <v>0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x14ac:dyDescent="0.3">
      <c r="A97" s="2">
        <f t="shared" si="0"/>
        <v>10</v>
      </c>
      <c r="B97" s="89" t="s">
        <v>478</v>
      </c>
      <c r="C97" s="56" t="s">
        <v>479</v>
      </c>
      <c r="D97" s="2">
        <v>6</v>
      </c>
      <c r="E97" s="2" t="s">
        <v>341</v>
      </c>
      <c r="F97" s="2"/>
      <c r="G97" s="2" t="s">
        <v>338</v>
      </c>
      <c r="H97" s="2" t="s">
        <v>482</v>
      </c>
      <c r="I97" s="2">
        <v>0</v>
      </c>
      <c r="J97" s="2">
        <v>2.9592999999999998</v>
      </c>
      <c r="K97" s="2">
        <v>2.9563700000000002</v>
      </c>
      <c r="L97" s="2">
        <v>3.1204499999999999</v>
      </c>
      <c r="M97" s="2">
        <v>3.1438899999999999</v>
      </c>
      <c r="N97" s="2">
        <v>3.5658099999999999</v>
      </c>
      <c r="O97" s="2">
        <f>AVERAGE(J97:N97)</f>
        <v>3.1491639999999999</v>
      </c>
      <c r="P97" s="2">
        <f>O97</f>
        <v>3.1491639999999999</v>
      </c>
      <c r="Q97" s="2">
        <f t="shared" ref="Q97:AP97" si="1">P97</f>
        <v>3.1491639999999999</v>
      </c>
      <c r="R97" s="2">
        <f t="shared" si="1"/>
        <v>3.1491639999999999</v>
      </c>
      <c r="S97" s="2">
        <f t="shared" si="1"/>
        <v>3.1491639999999999</v>
      </c>
      <c r="T97" s="2">
        <f t="shared" si="1"/>
        <v>3.1491639999999999</v>
      </c>
      <c r="U97" s="2">
        <f t="shared" si="1"/>
        <v>3.1491639999999999</v>
      </c>
      <c r="V97" s="2">
        <f t="shared" si="1"/>
        <v>3.1491639999999999</v>
      </c>
      <c r="W97" s="2">
        <f t="shared" si="1"/>
        <v>3.1491639999999999</v>
      </c>
      <c r="X97" s="2">
        <f t="shared" si="1"/>
        <v>3.1491639999999999</v>
      </c>
      <c r="Y97" s="2">
        <f t="shared" si="1"/>
        <v>3.1491639999999999</v>
      </c>
      <c r="Z97" s="2">
        <f t="shared" si="1"/>
        <v>3.1491639999999999</v>
      </c>
      <c r="AA97" s="2">
        <f t="shared" si="1"/>
        <v>3.1491639999999999</v>
      </c>
      <c r="AB97" s="2">
        <f t="shared" si="1"/>
        <v>3.1491639999999999</v>
      </c>
      <c r="AC97" s="2">
        <f t="shared" si="1"/>
        <v>3.1491639999999999</v>
      </c>
      <c r="AD97" s="2">
        <f t="shared" si="1"/>
        <v>3.1491639999999999</v>
      </c>
      <c r="AE97" s="2">
        <f t="shared" si="1"/>
        <v>3.1491639999999999</v>
      </c>
      <c r="AF97" s="2">
        <f t="shared" si="1"/>
        <v>3.1491639999999999</v>
      </c>
      <c r="AG97" s="2">
        <f t="shared" si="1"/>
        <v>3.1491639999999999</v>
      </c>
      <c r="AH97" s="2">
        <f t="shared" si="1"/>
        <v>3.1491639999999999</v>
      </c>
      <c r="AI97" s="2">
        <f t="shared" si="1"/>
        <v>3.1491639999999999</v>
      </c>
      <c r="AJ97" s="2">
        <f t="shared" si="1"/>
        <v>3.1491639999999999</v>
      </c>
      <c r="AK97" s="2">
        <f t="shared" si="1"/>
        <v>3.1491639999999999</v>
      </c>
      <c r="AL97" s="2">
        <f t="shared" si="1"/>
        <v>3.1491639999999999</v>
      </c>
      <c r="AM97" s="2">
        <f t="shared" si="1"/>
        <v>3.1491639999999999</v>
      </c>
      <c r="AN97" s="2">
        <f t="shared" si="1"/>
        <v>3.1491639999999999</v>
      </c>
      <c r="AO97" s="2">
        <f t="shared" si="1"/>
        <v>3.1491639999999999</v>
      </c>
      <c r="AP97" s="2">
        <f t="shared" si="1"/>
        <v>3.1491639999999999</v>
      </c>
    </row>
    <row r="98" spans="1:42" x14ac:dyDescent="0.3">
      <c r="A98" s="2">
        <f t="shared" si="0"/>
        <v>10</v>
      </c>
      <c r="B98" s="89" t="s">
        <v>478</v>
      </c>
      <c r="C98" s="56" t="s">
        <v>479</v>
      </c>
      <c r="D98" s="2">
        <v>7</v>
      </c>
      <c r="E98" s="2" t="s">
        <v>343</v>
      </c>
      <c r="F98" s="2"/>
      <c r="G98" s="2" t="s">
        <v>334</v>
      </c>
      <c r="H98" s="2"/>
      <c r="I98" s="2">
        <v>0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x14ac:dyDescent="0.3">
      <c r="A99" s="2">
        <f t="shared" si="0"/>
        <v>10</v>
      </c>
      <c r="B99" s="89" t="s">
        <v>478</v>
      </c>
      <c r="C99" s="56" t="s">
        <v>479</v>
      </c>
      <c r="D99" s="2">
        <v>8</v>
      </c>
      <c r="E99" s="2" t="s">
        <v>344</v>
      </c>
      <c r="F99" s="2"/>
      <c r="G99" s="2" t="s">
        <v>334</v>
      </c>
      <c r="H99" s="2"/>
      <c r="I99" s="2">
        <v>0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x14ac:dyDescent="0.3">
      <c r="A100" s="2">
        <f t="shared" si="0"/>
        <v>10</v>
      </c>
      <c r="B100" s="89" t="s">
        <v>478</v>
      </c>
      <c r="C100" s="56" t="s">
        <v>479</v>
      </c>
      <c r="D100" s="2">
        <v>9</v>
      </c>
      <c r="E100" s="2" t="s">
        <v>345</v>
      </c>
      <c r="F100" s="2"/>
      <c r="G100" s="2" t="s">
        <v>334</v>
      </c>
      <c r="H100" s="2"/>
      <c r="I100" s="2">
        <v>0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x14ac:dyDescent="0.3">
      <c r="A101" s="2">
        <f t="shared" si="0"/>
        <v>10</v>
      </c>
      <c r="B101" s="89" t="s">
        <v>478</v>
      </c>
      <c r="C101" s="56" t="s">
        <v>479</v>
      </c>
      <c r="D101" s="2">
        <v>10</v>
      </c>
      <c r="E101" s="2" t="s">
        <v>346</v>
      </c>
      <c r="F101" s="2"/>
      <c r="G101" s="2" t="s">
        <v>334</v>
      </c>
      <c r="H101" s="2"/>
      <c r="I101" s="2">
        <v>0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x14ac:dyDescent="0.3">
      <c r="A102" s="48">
        <f t="shared" ref="A102" si="2">A92+1</f>
        <v>11</v>
      </c>
      <c r="B102" s="48" t="s">
        <v>31</v>
      </c>
      <c r="C102" s="48" t="s">
        <v>32</v>
      </c>
      <c r="D102" s="48">
        <v>1</v>
      </c>
      <c r="E102" s="48" t="s">
        <v>333</v>
      </c>
      <c r="F102" s="48"/>
      <c r="G102" s="57" t="s">
        <v>350</v>
      </c>
      <c r="H102" s="57" t="s">
        <v>425</v>
      </c>
      <c r="I102" s="57">
        <v>0</v>
      </c>
      <c r="J102" s="58">
        <v>1642.8571428571429</v>
      </c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</row>
    <row r="103" spans="1:42" x14ac:dyDescent="0.3">
      <c r="A103" s="48">
        <f t="shared" ref="A103:A166" si="3">A102</f>
        <v>11</v>
      </c>
      <c r="B103" s="48" t="s">
        <v>31</v>
      </c>
      <c r="C103" s="48" t="s">
        <v>32</v>
      </c>
      <c r="D103" s="48">
        <v>2</v>
      </c>
      <c r="E103" s="48" t="s">
        <v>335</v>
      </c>
      <c r="F103" s="48"/>
      <c r="G103" s="57" t="s">
        <v>350</v>
      </c>
      <c r="H103" s="57" t="s">
        <v>425</v>
      </c>
      <c r="I103" s="57">
        <v>0</v>
      </c>
      <c r="J103" s="58">
        <v>32.857142857142861</v>
      </c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</row>
    <row r="104" spans="1:42" x14ac:dyDescent="0.3">
      <c r="A104" s="48">
        <f t="shared" si="3"/>
        <v>11</v>
      </c>
      <c r="B104" s="48" t="s">
        <v>31</v>
      </c>
      <c r="C104" s="48" t="s">
        <v>32</v>
      </c>
      <c r="D104" s="48">
        <v>3</v>
      </c>
      <c r="E104" s="48" t="s">
        <v>336</v>
      </c>
      <c r="F104" s="48" t="s">
        <v>337</v>
      </c>
      <c r="G104" s="57" t="s">
        <v>350</v>
      </c>
      <c r="H104" s="57"/>
      <c r="I104" s="57">
        <v>0</v>
      </c>
      <c r="J104" s="57">
        <v>19.05</v>
      </c>
      <c r="K104" s="49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</row>
    <row r="105" spans="1:42" x14ac:dyDescent="0.3">
      <c r="A105" s="48">
        <f t="shared" si="3"/>
        <v>11</v>
      </c>
      <c r="B105" s="48" t="s">
        <v>31</v>
      </c>
      <c r="C105" s="48" t="s">
        <v>32</v>
      </c>
      <c r="D105" s="48">
        <v>4</v>
      </c>
      <c r="E105" s="48" t="s">
        <v>339</v>
      </c>
      <c r="F105" s="48"/>
      <c r="G105" s="48" t="s">
        <v>334</v>
      </c>
      <c r="H105" s="48"/>
      <c r="I105" s="48">
        <v>0</v>
      </c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</row>
    <row r="106" spans="1:42" x14ac:dyDescent="0.3">
      <c r="A106" s="48">
        <f t="shared" si="3"/>
        <v>11</v>
      </c>
      <c r="B106" s="48" t="s">
        <v>31</v>
      </c>
      <c r="C106" s="48" t="s">
        <v>32</v>
      </c>
      <c r="D106" s="48">
        <v>5</v>
      </c>
      <c r="E106" s="48" t="s">
        <v>340</v>
      </c>
      <c r="F106" s="48"/>
      <c r="G106" s="48" t="s">
        <v>334</v>
      </c>
      <c r="H106" s="48"/>
      <c r="I106" s="48">
        <v>0</v>
      </c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</row>
    <row r="107" spans="1:42" x14ac:dyDescent="0.3">
      <c r="A107" s="48">
        <f t="shared" si="3"/>
        <v>11</v>
      </c>
      <c r="B107" s="48" t="s">
        <v>31</v>
      </c>
      <c r="C107" s="48" t="s">
        <v>32</v>
      </c>
      <c r="D107" s="48">
        <v>6</v>
      </c>
      <c r="E107" s="48" t="s">
        <v>341</v>
      </c>
      <c r="F107" s="48"/>
      <c r="G107" s="57" t="s">
        <v>350</v>
      </c>
      <c r="H107" s="57" t="s">
        <v>426</v>
      </c>
      <c r="I107" s="48">
        <v>0</v>
      </c>
      <c r="J107" s="57">
        <v>0</v>
      </c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</row>
    <row r="108" spans="1:42" x14ac:dyDescent="0.3">
      <c r="A108" s="48">
        <f t="shared" si="3"/>
        <v>11</v>
      </c>
      <c r="B108" s="48" t="s">
        <v>31</v>
      </c>
      <c r="C108" s="48" t="s">
        <v>32</v>
      </c>
      <c r="D108" s="48">
        <v>7</v>
      </c>
      <c r="E108" s="48" t="s">
        <v>343</v>
      </c>
      <c r="F108" s="48"/>
      <c r="G108" s="48" t="s">
        <v>334</v>
      </c>
      <c r="H108" s="48"/>
      <c r="I108" s="48">
        <v>0</v>
      </c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</row>
    <row r="109" spans="1:42" x14ac:dyDescent="0.3">
      <c r="A109" s="48">
        <f t="shared" si="3"/>
        <v>11</v>
      </c>
      <c r="B109" s="48" t="s">
        <v>31</v>
      </c>
      <c r="C109" s="48" t="s">
        <v>32</v>
      </c>
      <c r="D109" s="48">
        <v>8</v>
      </c>
      <c r="E109" s="48" t="s">
        <v>344</v>
      </c>
      <c r="F109" s="48"/>
      <c r="G109" s="48" t="s">
        <v>334</v>
      </c>
      <c r="H109" s="48"/>
      <c r="I109" s="48">
        <v>0</v>
      </c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</row>
    <row r="110" spans="1:42" x14ac:dyDescent="0.3">
      <c r="A110" s="48">
        <f t="shared" si="3"/>
        <v>11</v>
      </c>
      <c r="B110" s="48" t="s">
        <v>31</v>
      </c>
      <c r="C110" s="48" t="s">
        <v>32</v>
      </c>
      <c r="D110" s="48">
        <v>9</v>
      </c>
      <c r="E110" s="48" t="s">
        <v>345</v>
      </c>
      <c r="F110" s="48"/>
      <c r="G110" s="57" t="s">
        <v>350</v>
      </c>
      <c r="H110" s="57" t="s">
        <v>425</v>
      </c>
      <c r="I110" s="57">
        <v>0</v>
      </c>
      <c r="J110" s="57">
        <v>0.76</v>
      </c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</row>
    <row r="111" spans="1:42" x14ac:dyDescent="0.3">
      <c r="A111" s="48">
        <f t="shared" si="3"/>
        <v>11</v>
      </c>
      <c r="B111" s="48" t="s">
        <v>31</v>
      </c>
      <c r="C111" s="48" t="s">
        <v>32</v>
      </c>
      <c r="D111" s="48">
        <v>10</v>
      </c>
      <c r="E111" s="48" t="s">
        <v>346</v>
      </c>
      <c r="F111" s="48"/>
      <c r="G111" s="57" t="s">
        <v>350</v>
      </c>
      <c r="H111" s="57" t="s">
        <v>417</v>
      </c>
      <c r="I111" s="57">
        <v>0</v>
      </c>
      <c r="J111" s="57">
        <v>1</v>
      </c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</row>
    <row r="112" spans="1:42" x14ac:dyDescent="0.3">
      <c r="A112" s="2">
        <f t="shared" ref="A112" si="4">A102+1</f>
        <v>12</v>
      </c>
      <c r="B112" s="2" t="s">
        <v>34</v>
      </c>
      <c r="C112" s="2" t="s">
        <v>35</v>
      </c>
      <c r="D112" s="2">
        <v>1</v>
      </c>
      <c r="E112" s="2" t="s">
        <v>333</v>
      </c>
      <c r="F112" s="2"/>
      <c r="G112" s="2" t="s">
        <v>334</v>
      </c>
      <c r="H112" s="2"/>
      <c r="I112" s="2"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x14ac:dyDescent="0.3">
      <c r="A113" s="2">
        <f t="shared" ref="A113" si="5">A112</f>
        <v>12</v>
      </c>
      <c r="B113" s="2" t="s">
        <v>34</v>
      </c>
      <c r="C113" s="2" t="s">
        <v>35</v>
      </c>
      <c r="D113" s="2">
        <v>2</v>
      </c>
      <c r="E113" s="2" t="s">
        <v>335</v>
      </c>
      <c r="F113" s="2"/>
      <c r="G113" s="2" t="s">
        <v>334</v>
      </c>
      <c r="H113" s="2"/>
      <c r="I113" s="2">
        <v>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x14ac:dyDescent="0.3">
      <c r="A114" s="2">
        <f t="shared" si="3"/>
        <v>12</v>
      </c>
      <c r="B114" s="2" t="s">
        <v>34</v>
      </c>
      <c r="C114" s="2" t="s">
        <v>35</v>
      </c>
      <c r="D114" s="2">
        <v>3</v>
      </c>
      <c r="E114" s="2" t="s">
        <v>336</v>
      </c>
      <c r="F114" s="2" t="s">
        <v>337</v>
      </c>
      <c r="G114" s="2" t="s">
        <v>348</v>
      </c>
      <c r="H114" s="2"/>
      <c r="I114" s="2">
        <v>1.9</v>
      </c>
      <c r="J114" s="2">
        <v>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x14ac:dyDescent="0.3">
      <c r="A115" s="2">
        <f t="shared" si="3"/>
        <v>12</v>
      </c>
      <c r="B115" s="2" t="s">
        <v>34</v>
      </c>
      <c r="C115" s="2" t="s">
        <v>35</v>
      </c>
      <c r="D115" s="2">
        <v>4</v>
      </c>
      <c r="E115" s="2" t="s">
        <v>339</v>
      </c>
      <c r="F115" s="2"/>
      <c r="G115" s="2" t="s">
        <v>334</v>
      </c>
      <c r="H115" s="2"/>
      <c r="I115" s="2"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x14ac:dyDescent="0.3">
      <c r="A116" s="2">
        <f t="shared" si="3"/>
        <v>12</v>
      </c>
      <c r="B116" s="2" t="s">
        <v>34</v>
      </c>
      <c r="C116" s="2" t="s">
        <v>35</v>
      </c>
      <c r="D116" s="2">
        <v>5</v>
      </c>
      <c r="E116" s="2" t="s">
        <v>340</v>
      </c>
      <c r="F116" s="2"/>
      <c r="G116" s="2" t="s">
        <v>334</v>
      </c>
      <c r="H116" s="2"/>
      <c r="I116" s="2"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x14ac:dyDescent="0.3">
      <c r="A117" s="2">
        <f t="shared" si="3"/>
        <v>12</v>
      </c>
      <c r="B117" s="2" t="s">
        <v>34</v>
      </c>
      <c r="C117" s="2" t="s">
        <v>35</v>
      </c>
      <c r="D117" s="2">
        <v>6</v>
      </c>
      <c r="E117" s="2" t="s">
        <v>341</v>
      </c>
      <c r="F117" s="2"/>
      <c r="G117" s="2" t="s">
        <v>338</v>
      </c>
      <c r="H117" s="2" t="s">
        <v>482</v>
      </c>
      <c r="I117" s="2">
        <v>0</v>
      </c>
      <c r="J117" s="2">
        <v>51.494241000000002</v>
      </c>
      <c r="K117" s="2">
        <v>49.354230000000001</v>
      </c>
      <c r="L117" s="2">
        <v>19.184058</v>
      </c>
      <c r="M117" s="2">
        <v>49.658394000000001</v>
      </c>
      <c r="N117" s="2">
        <v>46.294485000000002</v>
      </c>
      <c r="O117" s="90">
        <f>AVERAGE(J117:N117)</f>
        <v>43.197081600000004</v>
      </c>
      <c r="P117" s="90">
        <f>O117</f>
        <v>43.197081600000004</v>
      </c>
      <c r="Q117" s="90">
        <f t="shared" ref="Q117:AP117" si="6">P117</f>
        <v>43.197081600000004</v>
      </c>
      <c r="R117" s="90">
        <f t="shared" si="6"/>
        <v>43.197081600000004</v>
      </c>
      <c r="S117" s="90">
        <f t="shared" si="6"/>
        <v>43.197081600000004</v>
      </c>
      <c r="T117" s="90">
        <f t="shared" si="6"/>
        <v>43.197081600000004</v>
      </c>
      <c r="U117" s="90">
        <f t="shared" si="6"/>
        <v>43.197081600000004</v>
      </c>
      <c r="V117" s="90">
        <f t="shared" si="6"/>
        <v>43.197081600000004</v>
      </c>
      <c r="W117" s="90">
        <f t="shared" si="6"/>
        <v>43.197081600000004</v>
      </c>
      <c r="X117" s="90">
        <f t="shared" si="6"/>
        <v>43.197081600000004</v>
      </c>
      <c r="Y117" s="90">
        <f t="shared" si="6"/>
        <v>43.197081600000004</v>
      </c>
      <c r="Z117" s="90">
        <f t="shared" si="6"/>
        <v>43.197081600000004</v>
      </c>
      <c r="AA117" s="90">
        <f t="shared" si="6"/>
        <v>43.197081600000004</v>
      </c>
      <c r="AB117" s="90">
        <f t="shared" si="6"/>
        <v>43.197081600000004</v>
      </c>
      <c r="AC117" s="90">
        <f t="shared" si="6"/>
        <v>43.197081600000004</v>
      </c>
      <c r="AD117" s="90">
        <f t="shared" si="6"/>
        <v>43.197081600000004</v>
      </c>
      <c r="AE117" s="90">
        <f t="shared" si="6"/>
        <v>43.197081600000004</v>
      </c>
      <c r="AF117" s="90">
        <f t="shared" si="6"/>
        <v>43.197081600000004</v>
      </c>
      <c r="AG117" s="90">
        <f t="shared" si="6"/>
        <v>43.197081600000004</v>
      </c>
      <c r="AH117" s="90">
        <f t="shared" si="6"/>
        <v>43.197081600000004</v>
      </c>
      <c r="AI117" s="90">
        <f t="shared" si="6"/>
        <v>43.197081600000004</v>
      </c>
      <c r="AJ117" s="90">
        <f t="shared" si="6"/>
        <v>43.197081600000004</v>
      </c>
      <c r="AK117" s="90">
        <f t="shared" si="6"/>
        <v>43.197081600000004</v>
      </c>
      <c r="AL117" s="90">
        <f t="shared" si="6"/>
        <v>43.197081600000004</v>
      </c>
      <c r="AM117" s="90">
        <f t="shared" si="6"/>
        <v>43.197081600000004</v>
      </c>
      <c r="AN117" s="90">
        <f t="shared" si="6"/>
        <v>43.197081600000004</v>
      </c>
      <c r="AO117" s="90">
        <f t="shared" si="6"/>
        <v>43.197081600000004</v>
      </c>
      <c r="AP117" s="90">
        <f t="shared" si="6"/>
        <v>43.197081600000004</v>
      </c>
    </row>
    <row r="118" spans="1:42" x14ac:dyDescent="0.3">
      <c r="A118" s="2">
        <f t="shared" si="3"/>
        <v>12</v>
      </c>
      <c r="B118" s="2" t="s">
        <v>34</v>
      </c>
      <c r="C118" s="2" t="s">
        <v>35</v>
      </c>
      <c r="D118" s="2">
        <v>7</v>
      </c>
      <c r="E118" s="2" t="s">
        <v>343</v>
      </c>
      <c r="F118" s="2"/>
      <c r="G118" s="2" t="s">
        <v>334</v>
      </c>
      <c r="H118" s="2"/>
      <c r="I118" s="2">
        <v>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x14ac:dyDescent="0.3">
      <c r="A119" s="2">
        <f t="shared" si="3"/>
        <v>12</v>
      </c>
      <c r="B119" s="2" t="s">
        <v>34</v>
      </c>
      <c r="C119" s="2" t="s">
        <v>35</v>
      </c>
      <c r="D119" s="2">
        <v>8</v>
      </c>
      <c r="E119" s="2" t="s">
        <v>344</v>
      </c>
      <c r="F119" s="2"/>
      <c r="G119" s="2" t="s">
        <v>334</v>
      </c>
      <c r="H119" s="2"/>
      <c r="I119" s="2">
        <v>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x14ac:dyDescent="0.3">
      <c r="A120" s="2">
        <f t="shared" si="3"/>
        <v>12</v>
      </c>
      <c r="B120" s="2" t="s">
        <v>34</v>
      </c>
      <c r="C120" s="2" t="s">
        <v>35</v>
      </c>
      <c r="D120" s="2">
        <v>9</v>
      </c>
      <c r="E120" s="2" t="s">
        <v>345</v>
      </c>
      <c r="F120" s="2"/>
      <c r="G120" s="2" t="s">
        <v>334</v>
      </c>
      <c r="H120" s="2"/>
      <c r="I120" s="2"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x14ac:dyDescent="0.3">
      <c r="A121" s="2">
        <f t="shared" si="3"/>
        <v>12</v>
      </c>
      <c r="B121" s="2" t="s">
        <v>34</v>
      </c>
      <c r="C121" s="2" t="s">
        <v>35</v>
      </c>
      <c r="D121" s="2">
        <v>10</v>
      </c>
      <c r="E121" s="2" t="s">
        <v>346</v>
      </c>
      <c r="F121" s="2"/>
      <c r="G121" s="2" t="s">
        <v>334</v>
      </c>
      <c r="H121" s="2"/>
      <c r="I121" s="2"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x14ac:dyDescent="0.3">
      <c r="A122" s="48">
        <f t="shared" ref="A122" si="7">A112+1</f>
        <v>13</v>
      </c>
      <c r="B122" s="48" t="s">
        <v>480</v>
      </c>
      <c r="C122" s="48" t="s">
        <v>481</v>
      </c>
      <c r="D122" s="48">
        <v>1</v>
      </c>
      <c r="E122" s="48" t="s">
        <v>333</v>
      </c>
      <c r="F122" s="48"/>
      <c r="G122" s="48" t="s">
        <v>334</v>
      </c>
      <c r="H122" s="48"/>
      <c r="I122" s="48">
        <v>0</v>
      </c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</row>
    <row r="123" spans="1:42" x14ac:dyDescent="0.3">
      <c r="A123" s="48">
        <f t="shared" ref="A123" si="8">A122</f>
        <v>13</v>
      </c>
      <c r="B123" s="48" t="s">
        <v>480</v>
      </c>
      <c r="C123" s="48" t="s">
        <v>481</v>
      </c>
      <c r="D123" s="48">
        <v>2</v>
      </c>
      <c r="E123" s="48" t="s">
        <v>335</v>
      </c>
      <c r="F123" s="48"/>
      <c r="G123" s="48" t="s">
        <v>334</v>
      </c>
      <c r="H123" s="48"/>
      <c r="I123" s="48">
        <v>0</v>
      </c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</row>
    <row r="124" spans="1:42" x14ac:dyDescent="0.3">
      <c r="A124" s="48">
        <f t="shared" si="3"/>
        <v>13</v>
      </c>
      <c r="B124" s="48" t="s">
        <v>480</v>
      </c>
      <c r="C124" s="48" t="s">
        <v>481</v>
      </c>
      <c r="D124" s="48">
        <v>3</v>
      </c>
      <c r="E124" s="48" t="s">
        <v>336</v>
      </c>
      <c r="F124" s="48" t="s">
        <v>337</v>
      </c>
      <c r="G124" s="48" t="s">
        <v>348</v>
      </c>
      <c r="H124" s="48"/>
      <c r="I124" s="49">
        <v>1.9</v>
      </c>
      <c r="J124" s="49">
        <v>0</v>
      </c>
      <c r="K124" s="49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</row>
    <row r="125" spans="1:42" x14ac:dyDescent="0.3">
      <c r="A125" s="48">
        <f t="shared" si="3"/>
        <v>13</v>
      </c>
      <c r="B125" s="48" t="s">
        <v>480</v>
      </c>
      <c r="C125" s="48" t="s">
        <v>481</v>
      </c>
      <c r="D125" s="48">
        <v>4</v>
      </c>
      <c r="E125" s="48" t="s">
        <v>339</v>
      </c>
      <c r="F125" s="48"/>
      <c r="G125" s="48" t="s">
        <v>334</v>
      </c>
      <c r="H125" s="48"/>
      <c r="I125" s="48">
        <v>0</v>
      </c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</row>
    <row r="126" spans="1:42" x14ac:dyDescent="0.3">
      <c r="A126" s="48">
        <f t="shared" si="3"/>
        <v>13</v>
      </c>
      <c r="B126" s="48" t="s">
        <v>480</v>
      </c>
      <c r="C126" s="48" t="s">
        <v>481</v>
      </c>
      <c r="D126" s="48">
        <v>5</v>
      </c>
      <c r="E126" s="48" t="s">
        <v>340</v>
      </c>
      <c r="F126" s="48"/>
      <c r="G126" s="48" t="s">
        <v>334</v>
      </c>
      <c r="H126" s="48"/>
      <c r="I126" s="48">
        <v>0</v>
      </c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</row>
    <row r="127" spans="1:42" x14ac:dyDescent="0.3">
      <c r="A127" s="48">
        <f t="shared" si="3"/>
        <v>13</v>
      </c>
      <c r="B127" s="48" t="s">
        <v>480</v>
      </c>
      <c r="C127" s="48" t="s">
        <v>481</v>
      </c>
      <c r="D127" s="48">
        <v>6</v>
      </c>
      <c r="E127" s="48" t="s">
        <v>341</v>
      </c>
      <c r="F127" s="48"/>
      <c r="G127" s="92" t="s">
        <v>338</v>
      </c>
      <c r="H127" s="92"/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2">
        <v>0</v>
      </c>
      <c r="O127" s="92">
        <v>0</v>
      </c>
      <c r="P127" s="92">
        <v>0</v>
      </c>
      <c r="Q127" s="92">
        <v>0</v>
      </c>
      <c r="R127" s="92">
        <v>0</v>
      </c>
      <c r="S127" s="92">
        <v>0</v>
      </c>
      <c r="T127" s="92">
        <v>0</v>
      </c>
      <c r="U127" s="92">
        <v>0</v>
      </c>
      <c r="V127" s="92">
        <v>0</v>
      </c>
      <c r="W127" s="92">
        <v>0</v>
      </c>
      <c r="X127" s="92">
        <v>0</v>
      </c>
      <c r="Y127" s="92">
        <v>0</v>
      </c>
      <c r="Z127" s="92">
        <v>0</v>
      </c>
      <c r="AA127" s="92">
        <v>0</v>
      </c>
      <c r="AB127" s="92">
        <v>0</v>
      </c>
      <c r="AC127" s="92">
        <v>0</v>
      </c>
      <c r="AD127" s="92">
        <v>0</v>
      </c>
      <c r="AE127" s="92">
        <v>0</v>
      </c>
      <c r="AF127" s="92">
        <v>0</v>
      </c>
      <c r="AG127" s="92">
        <v>0</v>
      </c>
      <c r="AH127" s="92">
        <v>0</v>
      </c>
      <c r="AI127" s="92">
        <v>0</v>
      </c>
      <c r="AJ127" s="92">
        <v>0</v>
      </c>
      <c r="AK127" s="92">
        <v>0</v>
      </c>
      <c r="AL127" s="92">
        <v>0</v>
      </c>
      <c r="AM127" s="92">
        <v>0</v>
      </c>
      <c r="AN127" s="92">
        <v>0</v>
      </c>
      <c r="AO127" s="92">
        <v>0</v>
      </c>
      <c r="AP127" s="92">
        <v>0</v>
      </c>
    </row>
    <row r="128" spans="1:42" x14ac:dyDescent="0.3">
      <c r="A128" s="48">
        <f t="shared" si="3"/>
        <v>13</v>
      </c>
      <c r="B128" s="48" t="s">
        <v>480</v>
      </c>
      <c r="C128" s="48" t="s">
        <v>481</v>
      </c>
      <c r="D128" s="48">
        <v>7</v>
      </c>
      <c r="E128" s="48" t="s">
        <v>343</v>
      </c>
      <c r="F128" s="48"/>
      <c r="G128" s="48" t="s">
        <v>334</v>
      </c>
      <c r="H128" s="48"/>
      <c r="I128" s="48">
        <v>0</v>
      </c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</row>
    <row r="129" spans="1:42" x14ac:dyDescent="0.3">
      <c r="A129" s="48">
        <f t="shared" si="3"/>
        <v>13</v>
      </c>
      <c r="B129" s="48" t="s">
        <v>480</v>
      </c>
      <c r="C129" s="48" t="s">
        <v>481</v>
      </c>
      <c r="D129" s="48">
        <v>8</v>
      </c>
      <c r="E129" s="48" t="s">
        <v>344</v>
      </c>
      <c r="F129" s="48"/>
      <c r="G129" s="48" t="s">
        <v>334</v>
      </c>
      <c r="H129" s="48"/>
      <c r="I129" s="48">
        <v>0</v>
      </c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</row>
    <row r="130" spans="1:42" x14ac:dyDescent="0.3">
      <c r="A130" s="48">
        <f t="shared" si="3"/>
        <v>13</v>
      </c>
      <c r="B130" s="48" t="s">
        <v>480</v>
      </c>
      <c r="C130" s="48" t="s">
        <v>481</v>
      </c>
      <c r="D130" s="48">
        <v>9</v>
      </c>
      <c r="E130" s="48" t="s">
        <v>345</v>
      </c>
      <c r="F130" s="48"/>
      <c r="G130" s="48" t="s">
        <v>334</v>
      </c>
      <c r="H130" s="48"/>
      <c r="I130" s="48">
        <v>0</v>
      </c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</row>
    <row r="131" spans="1:42" x14ac:dyDescent="0.3">
      <c r="A131" s="48">
        <f t="shared" si="3"/>
        <v>13</v>
      </c>
      <c r="B131" s="48" t="s">
        <v>480</v>
      </c>
      <c r="C131" s="48" t="s">
        <v>481</v>
      </c>
      <c r="D131" s="48">
        <v>10</v>
      </c>
      <c r="E131" s="48" t="s">
        <v>346</v>
      </c>
      <c r="F131" s="48"/>
      <c r="G131" s="48" t="s">
        <v>334</v>
      </c>
      <c r="H131" s="48"/>
      <c r="I131" s="48">
        <v>0</v>
      </c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</row>
    <row r="132" spans="1:42" x14ac:dyDescent="0.3">
      <c r="A132" s="2">
        <f t="shared" ref="A132" si="9">A122+1</f>
        <v>14</v>
      </c>
      <c r="B132" s="2" t="s">
        <v>36</v>
      </c>
      <c r="C132" s="2" t="s">
        <v>37</v>
      </c>
      <c r="D132" s="2">
        <v>1</v>
      </c>
      <c r="E132" s="2" t="s">
        <v>333</v>
      </c>
      <c r="F132" s="2" t="s">
        <v>349</v>
      </c>
      <c r="G132" s="2" t="s">
        <v>338</v>
      </c>
      <c r="H132" s="2" t="s">
        <v>427</v>
      </c>
      <c r="I132" s="2">
        <v>0</v>
      </c>
      <c r="J132" s="2">
        <v>3007.7096526690621</v>
      </c>
      <c r="K132" s="2">
        <v>3007.7096526690621</v>
      </c>
      <c r="L132" s="2">
        <v>3007.7096526690621</v>
      </c>
      <c r="M132" s="2">
        <v>3007.7096526690621</v>
      </c>
      <c r="N132" s="2">
        <v>3007.7096526690621</v>
      </c>
      <c r="O132" s="2">
        <v>3007.7096526690621</v>
      </c>
      <c r="P132" s="2">
        <v>3007.7096526690621</v>
      </c>
      <c r="Q132" s="2">
        <v>3007.7096526690621</v>
      </c>
      <c r="R132" s="2">
        <v>3007.7096526690621</v>
      </c>
      <c r="S132" s="2">
        <v>3007.7096526690621</v>
      </c>
      <c r="T132" s="2">
        <v>3007.7096526690621</v>
      </c>
      <c r="U132" s="2">
        <v>3007.7096526690621</v>
      </c>
      <c r="V132" s="2">
        <v>3007.7096526690621</v>
      </c>
      <c r="W132" s="2">
        <v>3007.7096526690621</v>
      </c>
      <c r="X132" s="2">
        <v>3007.7096526690621</v>
      </c>
      <c r="Y132" s="2">
        <v>3007.7096526690621</v>
      </c>
      <c r="Z132" s="2">
        <v>3007.7096526690621</v>
      </c>
      <c r="AA132" s="2">
        <v>3007.7096526690621</v>
      </c>
      <c r="AB132" s="2">
        <v>3007.7096526690621</v>
      </c>
      <c r="AC132" s="2">
        <v>3007.7096526690621</v>
      </c>
      <c r="AD132" s="2">
        <v>3007.7096526690621</v>
      </c>
      <c r="AE132" s="2">
        <v>3007.7096526690621</v>
      </c>
      <c r="AF132" s="2">
        <v>2887.1879538209755</v>
      </c>
      <c r="AG132" s="2">
        <v>2887.1879538209755</v>
      </c>
      <c r="AH132" s="2">
        <v>2887.1879538209755</v>
      </c>
      <c r="AI132" s="2">
        <v>2887.1879538209755</v>
      </c>
      <c r="AJ132" s="2">
        <v>2887.1879538209755</v>
      </c>
      <c r="AK132" s="2">
        <v>2887.1879538209755</v>
      </c>
      <c r="AL132" s="2">
        <v>2887.1879538209755</v>
      </c>
      <c r="AM132" s="2">
        <v>2887.1879538209755</v>
      </c>
      <c r="AN132" s="2">
        <v>2887.1879538209755</v>
      </c>
      <c r="AO132" s="2">
        <v>2887.1879538209755</v>
      </c>
      <c r="AP132" s="2">
        <v>2887.1879538209755</v>
      </c>
    </row>
    <row r="133" spans="1:42" x14ac:dyDescent="0.3">
      <c r="A133" s="2">
        <f t="shared" ref="A133" si="10">A132</f>
        <v>14</v>
      </c>
      <c r="B133" s="2" t="s">
        <v>36</v>
      </c>
      <c r="C133" s="2" t="s">
        <v>37</v>
      </c>
      <c r="D133" s="2">
        <v>2</v>
      </c>
      <c r="E133" s="2" t="s">
        <v>335</v>
      </c>
      <c r="F133" s="2" t="s">
        <v>349</v>
      </c>
      <c r="G133" s="2" t="s">
        <v>350</v>
      </c>
      <c r="H133" s="2" t="s">
        <v>427</v>
      </c>
      <c r="I133" s="2">
        <v>0</v>
      </c>
      <c r="J133" s="2">
        <v>85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x14ac:dyDescent="0.3">
      <c r="A134" s="2">
        <f t="shared" si="3"/>
        <v>14</v>
      </c>
      <c r="B134" s="2" t="s">
        <v>36</v>
      </c>
      <c r="C134" s="2" t="s">
        <v>37</v>
      </c>
      <c r="D134" s="2">
        <v>3</v>
      </c>
      <c r="E134" s="2" t="s">
        <v>336</v>
      </c>
      <c r="F134" s="2" t="s">
        <v>351</v>
      </c>
      <c r="G134" s="2" t="s">
        <v>350</v>
      </c>
      <c r="H134" s="2" t="s">
        <v>427</v>
      </c>
      <c r="I134" s="47">
        <v>0</v>
      </c>
      <c r="J134" s="47">
        <v>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x14ac:dyDescent="0.3">
      <c r="A135" s="2">
        <f t="shared" si="3"/>
        <v>14</v>
      </c>
      <c r="B135" s="2" t="s">
        <v>36</v>
      </c>
      <c r="C135" s="2" t="s">
        <v>37</v>
      </c>
      <c r="D135" s="2">
        <v>4</v>
      </c>
      <c r="E135" s="2" t="s">
        <v>339</v>
      </c>
      <c r="F135" s="2" t="s">
        <v>352</v>
      </c>
      <c r="G135" s="2" t="s">
        <v>350</v>
      </c>
      <c r="H135" s="2" t="s">
        <v>428</v>
      </c>
      <c r="I135" s="2">
        <v>0</v>
      </c>
      <c r="J135" s="2">
        <v>0.61572000000000005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x14ac:dyDescent="0.3">
      <c r="A136" s="2">
        <f t="shared" si="3"/>
        <v>14</v>
      </c>
      <c r="B136" s="2" t="s">
        <v>36</v>
      </c>
      <c r="C136" s="2" t="s">
        <v>37</v>
      </c>
      <c r="D136" s="2">
        <v>5</v>
      </c>
      <c r="E136" s="2" t="s">
        <v>340</v>
      </c>
      <c r="F136" s="2" t="s">
        <v>352</v>
      </c>
      <c r="G136" s="2" t="s">
        <v>338</v>
      </c>
      <c r="H136" s="2" t="s">
        <v>428</v>
      </c>
      <c r="I136" s="2">
        <v>0</v>
      </c>
      <c r="J136" s="2">
        <v>0.61572000000000005</v>
      </c>
      <c r="K136" s="2">
        <v>0.62327999999999995</v>
      </c>
      <c r="L136" s="2">
        <v>0.62327999999999995</v>
      </c>
      <c r="M136" s="2">
        <v>0.62327999999999995</v>
      </c>
      <c r="N136" s="2">
        <v>0.62327999999999995</v>
      </c>
      <c r="O136" s="2">
        <v>0.62326000000000004</v>
      </c>
      <c r="P136" s="2">
        <v>0.62326000000000004</v>
      </c>
      <c r="Q136" s="2">
        <v>0.62326000000000004</v>
      </c>
      <c r="R136" s="2">
        <f>Q136</f>
        <v>0.62326000000000004</v>
      </c>
      <c r="S136" s="2">
        <f t="shared" ref="S136:AP136" si="11">R136</f>
        <v>0.62326000000000004</v>
      </c>
      <c r="T136" s="2">
        <f t="shared" si="11"/>
        <v>0.62326000000000004</v>
      </c>
      <c r="U136" s="2">
        <f t="shared" si="11"/>
        <v>0.62326000000000004</v>
      </c>
      <c r="V136" s="2">
        <f t="shared" si="11"/>
        <v>0.62326000000000004</v>
      </c>
      <c r="W136" s="2">
        <f t="shared" si="11"/>
        <v>0.62326000000000004</v>
      </c>
      <c r="X136" s="2">
        <f t="shared" si="11"/>
        <v>0.62326000000000004</v>
      </c>
      <c r="Y136" s="2">
        <f t="shared" si="11"/>
        <v>0.62326000000000004</v>
      </c>
      <c r="Z136" s="2">
        <f t="shared" si="11"/>
        <v>0.62326000000000004</v>
      </c>
      <c r="AA136" s="2">
        <f t="shared" si="11"/>
        <v>0.62326000000000004</v>
      </c>
      <c r="AB136" s="2">
        <f t="shared" si="11"/>
        <v>0.62326000000000004</v>
      </c>
      <c r="AC136" s="2">
        <f t="shared" si="11"/>
        <v>0.62326000000000004</v>
      </c>
      <c r="AD136" s="2">
        <f t="shared" si="11"/>
        <v>0.62326000000000004</v>
      </c>
      <c r="AE136" s="2">
        <f t="shared" si="11"/>
        <v>0.62326000000000004</v>
      </c>
      <c r="AF136" s="2">
        <f t="shared" si="11"/>
        <v>0.62326000000000004</v>
      </c>
      <c r="AG136" s="2">
        <f t="shared" si="11"/>
        <v>0.62326000000000004</v>
      </c>
      <c r="AH136" s="2">
        <f t="shared" si="11"/>
        <v>0.62326000000000004</v>
      </c>
      <c r="AI136" s="2">
        <f t="shared" si="11"/>
        <v>0.62326000000000004</v>
      </c>
      <c r="AJ136" s="2">
        <f t="shared" si="11"/>
        <v>0.62326000000000004</v>
      </c>
      <c r="AK136" s="2">
        <f t="shared" si="11"/>
        <v>0.62326000000000004</v>
      </c>
      <c r="AL136" s="2">
        <f t="shared" si="11"/>
        <v>0.62326000000000004</v>
      </c>
      <c r="AM136" s="2">
        <f t="shared" si="11"/>
        <v>0.62326000000000004</v>
      </c>
      <c r="AN136" s="2">
        <f t="shared" si="11"/>
        <v>0.62326000000000004</v>
      </c>
      <c r="AO136" s="2">
        <f t="shared" si="11"/>
        <v>0.62326000000000004</v>
      </c>
      <c r="AP136" s="2">
        <f t="shared" si="11"/>
        <v>0.62326000000000004</v>
      </c>
    </row>
    <row r="137" spans="1:42" x14ac:dyDescent="0.3">
      <c r="A137" s="2">
        <f t="shared" si="3"/>
        <v>14</v>
      </c>
      <c r="B137" s="2" t="s">
        <v>36</v>
      </c>
      <c r="C137" s="2" t="s">
        <v>37</v>
      </c>
      <c r="D137" s="2">
        <v>6</v>
      </c>
      <c r="E137" s="2" t="s">
        <v>341</v>
      </c>
      <c r="F137" s="2"/>
      <c r="G137" s="2" t="s">
        <v>334</v>
      </c>
      <c r="H137" s="2"/>
      <c r="I137" s="2">
        <v>0</v>
      </c>
      <c r="J137" s="2"/>
      <c r="K137" s="2"/>
      <c r="L137" s="2"/>
      <c r="M137" s="2"/>
      <c r="N137" s="2"/>
      <c r="O137" s="2"/>
      <c r="P137" s="2"/>
      <c r="Q137" s="2"/>
      <c r="R137" s="2"/>
      <c r="S137" s="145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x14ac:dyDescent="0.3">
      <c r="A138" s="2">
        <f t="shared" si="3"/>
        <v>14</v>
      </c>
      <c r="B138" s="2" t="s">
        <v>36</v>
      </c>
      <c r="C138" s="2" t="s">
        <v>37</v>
      </c>
      <c r="D138" s="2">
        <v>7</v>
      </c>
      <c r="E138" s="2" t="s">
        <v>343</v>
      </c>
      <c r="F138" s="2" t="s">
        <v>342</v>
      </c>
      <c r="G138" s="2" t="s">
        <v>338</v>
      </c>
      <c r="H138" s="2" t="s">
        <v>429</v>
      </c>
      <c r="I138" s="2">
        <v>0</v>
      </c>
      <c r="J138" s="59">
        <f>J136*J140*8760*0.0036*1*0.98</f>
        <v>6.2138663999999997</v>
      </c>
      <c r="K138" s="59">
        <f>K136*K140*8760*0.0036*1*0.98</f>
        <v>3.4668244799999997</v>
      </c>
      <c r="L138" s="59">
        <f t="shared" ref="L138:AP138" si="12">L136*L140*8760*0.0036*1*0.98</f>
        <v>4.5334799999999991</v>
      </c>
      <c r="M138" s="59">
        <f t="shared" si="12"/>
        <v>5.2778879999999999</v>
      </c>
      <c r="N138" s="59">
        <f t="shared" si="12"/>
        <v>5.1402959999999993</v>
      </c>
      <c r="O138" s="59">
        <f t="shared" si="12"/>
        <v>4.0783680000000011</v>
      </c>
      <c r="P138" s="59">
        <f t="shared" si="12"/>
        <v>4.0783680000000011</v>
      </c>
      <c r="Q138" s="59">
        <f t="shared" si="12"/>
        <v>4.0783680000000011</v>
      </c>
      <c r="R138" s="59">
        <f t="shared" si="12"/>
        <v>4.0783680000000011</v>
      </c>
      <c r="S138" s="59">
        <f t="shared" si="12"/>
        <v>4.0783680000000011</v>
      </c>
      <c r="T138" s="59">
        <f t="shared" si="12"/>
        <v>4.0783680000000011</v>
      </c>
      <c r="U138" s="59">
        <f t="shared" si="12"/>
        <v>4.0783680000000011</v>
      </c>
      <c r="V138" s="59">
        <f t="shared" si="12"/>
        <v>4.0783680000000011</v>
      </c>
      <c r="W138" s="59">
        <f t="shared" si="12"/>
        <v>4.0783680000000011</v>
      </c>
      <c r="X138" s="59">
        <f t="shared" si="12"/>
        <v>4.0783680000000011</v>
      </c>
      <c r="Y138" s="59">
        <f t="shared" si="12"/>
        <v>4.0783680000000011</v>
      </c>
      <c r="Z138" s="59">
        <f t="shared" si="12"/>
        <v>4.0783680000000011</v>
      </c>
      <c r="AA138" s="59">
        <f t="shared" si="12"/>
        <v>4.0783680000000011</v>
      </c>
      <c r="AB138" s="59">
        <f t="shared" si="12"/>
        <v>4.0783680000000011</v>
      </c>
      <c r="AC138" s="59">
        <f t="shared" si="12"/>
        <v>4.0783680000000011</v>
      </c>
      <c r="AD138" s="59">
        <f t="shared" si="12"/>
        <v>4.0783680000000011</v>
      </c>
      <c r="AE138" s="59">
        <f t="shared" si="12"/>
        <v>4.0783680000000011</v>
      </c>
      <c r="AF138" s="59">
        <f t="shared" si="12"/>
        <v>4.0783680000000011</v>
      </c>
      <c r="AG138" s="59">
        <f t="shared" si="12"/>
        <v>4.0783680000000011</v>
      </c>
      <c r="AH138" s="59">
        <f t="shared" si="12"/>
        <v>4.0783680000000011</v>
      </c>
      <c r="AI138" s="59">
        <f t="shared" si="12"/>
        <v>4.0783680000000011</v>
      </c>
      <c r="AJ138" s="59">
        <f t="shared" si="12"/>
        <v>4.0783680000000011</v>
      </c>
      <c r="AK138" s="59">
        <f t="shared" si="12"/>
        <v>4.0783680000000011</v>
      </c>
      <c r="AL138" s="59">
        <f t="shared" si="12"/>
        <v>4.0783680000000011</v>
      </c>
      <c r="AM138" s="59">
        <f t="shared" si="12"/>
        <v>4.0783680000000011</v>
      </c>
      <c r="AN138" s="59">
        <f t="shared" si="12"/>
        <v>4.0783680000000011</v>
      </c>
      <c r="AO138" s="59">
        <f t="shared" si="12"/>
        <v>4.0783680000000011</v>
      </c>
      <c r="AP138" s="59">
        <f t="shared" si="12"/>
        <v>4.0783680000000011</v>
      </c>
    </row>
    <row r="139" spans="1:42" x14ac:dyDescent="0.3">
      <c r="A139" s="2">
        <f t="shared" si="3"/>
        <v>14</v>
      </c>
      <c r="B139" s="2" t="s">
        <v>36</v>
      </c>
      <c r="C139" s="2" t="s">
        <v>37</v>
      </c>
      <c r="D139" s="2">
        <v>8</v>
      </c>
      <c r="E139" s="2" t="s">
        <v>344</v>
      </c>
      <c r="F139" s="2" t="s">
        <v>352</v>
      </c>
      <c r="G139" s="2" t="s">
        <v>334</v>
      </c>
      <c r="H139" s="2"/>
      <c r="I139" s="2">
        <v>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x14ac:dyDescent="0.3">
      <c r="A140" s="2">
        <f t="shared" si="3"/>
        <v>14</v>
      </c>
      <c r="B140" s="2" t="s">
        <v>36</v>
      </c>
      <c r="C140" s="2" t="s">
        <v>37</v>
      </c>
      <c r="D140" s="2">
        <v>9</v>
      </c>
      <c r="E140" s="2" t="s">
        <v>345</v>
      </c>
      <c r="F140" s="2" t="s">
        <v>353</v>
      </c>
      <c r="G140" s="2" t="s">
        <v>338</v>
      </c>
      <c r="H140" s="2" t="s">
        <v>429</v>
      </c>
      <c r="I140" s="2">
        <v>0</v>
      </c>
      <c r="J140" s="2">
        <v>0.32654720300723772</v>
      </c>
      <c r="K140" s="2">
        <v>0.17997657407065523</v>
      </c>
      <c r="L140" s="2">
        <v>0.23535088197422505</v>
      </c>
      <c r="M140" s="2">
        <v>0.27399604625170482</v>
      </c>
      <c r="N140" s="2">
        <v>0.26685310119567773</v>
      </c>
      <c r="O140" s="2">
        <v>0.21173101164784314</v>
      </c>
      <c r="P140" s="2">
        <f>O140</f>
        <v>0.21173101164784314</v>
      </c>
      <c r="Q140" s="2">
        <f t="shared" ref="Q140:AP140" si="13">P140</f>
        <v>0.21173101164784314</v>
      </c>
      <c r="R140" s="2">
        <f t="shared" si="13"/>
        <v>0.21173101164784314</v>
      </c>
      <c r="S140" s="2">
        <f t="shared" si="13"/>
        <v>0.21173101164784314</v>
      </c>
      <c r="T140" s="2">
        <f t="shared" si="13"/>
        <v>0.21173101164784314</v>
      </c>
      <c r="U140" s="2">
        <f t="shared" si="13"/>
        <v>0.21173101164784314</v>
      </c>
      <c r="V140" s="2">
        <f t="shared" si="13"/>
        <v>0.21173101164784314</v>
      </c>
      <c r="W140" s="2">
        <f t="shared" si="13"/>
        <v>0.21173101164784314</v>
      </c>
      <c r="X140" s="2">
        <f t="shared" si="13"/>
        <v>0.21173101164784314</v>
      </c>
      <c r="Y140" s="2">
        <f t="shared" si="13"/>
        <v>0.21173101164784314</v>
      </c>
      <c r="Z140" s="2">
        <f t="shared" si="13"/>
        <v>0.21173101164784314</v>
      </c>
      <c r="AA140" s="2">
        <f t="shared" si="13"/>
        <v>0.21173101164784314</v>
      </c>
      <c r="AB140" s="2">
        <f t="shared" si="13"/>
        <v>0.21173101164784314</v>
      </c>
      <c r="AC140" s="2">
        <f t="shared" si="13"/>
        <v>0.21173101164784314</v>
      </c>
      <c r="AD140" s="2">
        <f t="shared" si="13"/>
        <v>0.21173101164784314</v>
      </c>
      <c r="AE140" s="2">
        <f t="shared" si="13"/>
        <v>0.21173101164784314</v>
      </c>
      <c r="AF140" s="2">
        <f t="shared" si="13"/>
        <v>0.21173101164784314</v>
      </c>
      <c r="AG140" s="2">
        <f t="shared" si="13"/>
        <v>0.21173101164784314</v>
      </c>
      <c r="AH140" s="2">
        <f t="shared" si="13"/>
        <v>0.21173101164784314</v>
      </c>
      <c r="AI140" s="2">
        <f t="shared" si="13"/>
        <v>0.21173101164784314</v>
      </c>
      <c r="AJ140" s="2">
        <f t="shared" si="13"/>
        <v>0.21173101164784314</v>
      </c>
      <c r="AK140" s="2">
        <f t="shared" si="13"/>
        <v>0.21173101164784314</v>
      </c>
      <c r="AL140" s="2">
        <f t="shared" si="13"/>
        <v>0.21173101164784314</v>
      </c>
      <c r="AM140" s="2">
        <f t="shared" si="13"/>
        <v>0.21173101164784314</v>
      </c>
      <c r="AN140" s="2">
        <f t="shared" si="13"/>
        <v>0.21173101164784314</v>
      </c>
      <c r="AO140" s="2">
        <f t="shared" si="13"/>
        <v>0.21173101164784314</v>
      </c>
      <c r="AP140" s="2">
        <f t="shared" si="13"/>
        <v>0.21173101164784314</v>
      </c>
    </row>
    <row r="141" spans="1:42" x14ac:dyDescent="0.3">
      <c r="A141" s="2">
        <f t="shared" si="3"/>
        <v>14</v>
      </c>
      <c r="B141" s="2" t="s">
        <v>36</v>
      </c>
      <c r="C141" s="2" t="s">
        <v>37</v>
      </c>
      <c r="D141" s="2">
        <v>10</v>
      </c>
      <c r="E141" s="2" t="s">
        <v>346</v>
      </c>
      <c r="F141" s="2" t="s">
        <v>353</v>
      </c>
      <c r="G141" s="2" t="s">
        <v>350</v>
      </c>
      <c r="H141" s="2"/>
      <c r="I141" s="2">
        <v>0</v>
      </c>
      <c r="J141" s="2">
        <v>1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x14ac:dyDescent="0.3">
      <c r="A142" s="48">
        <f t="shared" ref="A142" si="14">A132+1</f>
        <v>15</v>
      </c>
      <c r="B142" s="129" t="s">
        <v>38</v>
      </c>
      <c r="C142" s="48" t="s">
        <v>39</v>
      </c>
      <c r="D142" s="48">
        <v>1</v>
      </c>
      <c r="E142" s="48" t="s">
        <v>333</v>
      </c>
      <c r="F142" s="48" t="s">
        <v>349</v>
      </c>
      <c r="G142" s="48" t="s">
        <v>338</v>
      </c>
      <c r="H142" s="48" t="s">
        <v>427</v>
      </c>
      <c r="I142" s="48">
        <v>0</v>
      </c>
      <c r="J142" s="48">
        <v>8461.0498846183218</v>
      </c>
      <c r="K142" s="48">
        <v>8461.0498846183218</v>
      </c>
      <c r="L142" s="48">
        <v>8461.0498846183218</v>
      </c>
      <c r="M142" s="48">
        <v>8461.0498846183218</v>
      </c>
      <c r="N142" s="48">
        <v>8461.0498846183218</v>
      </c>
      <c r="O142" s="48">
        <v>8461.0498846183218</v>
      </c>
      <c r="P142" s="48">
        <v>8461.0498846183218</v>
      </c>
      <c r="Q142" s="48">
        <v>8461.0498846183218</v>
      </c>
      <c r="R142" s="48">
        <v>8461.0498846183218</v>
      </c>
      <c r="S142" s="48">
        <v>8461.0498846183218</v>
      </c>
      <c r="T142" s="48">
        <v>8461.0498846183218</v>
      </c>
      <c r="U142" s="48">
        <v>8461.0498846183218</v>
      </c>
      <c r="V142" s="48">
        <v>8461.0498846183218</v>
      </c>
      <c r="W142" s="48">
        <v>8461.0498846183218</v>
      </c>
      <c r="X142" s="48">
        <v>8461.0498846183218</v>
      </c>
      <c r="Y142" s="48">
        <v>8461.0498846183218</v>
      </c>
      <c r="Z142" s="48">
        <v>8461.0498846183218</v>
      </c>
      <c r="AA142" s="48">
        <v>8461.0498846183218</v>
      </c>
      <c r="AB142" s="48">
        <v>8461.0498846183218</v>
      </c>
      <c r="AC142" s="48">
        <v>8461.0498846183218</v>
      </c>
      <c r="AD142" s="48">
        <v>8461.0498846183218</v>
      </c>
      <c r="AE142" s="48">
        <v>8461.0498846183218</v>
      </c>
      <c r="AF142" s="48">
        <v>8461.0498846183218</v>
      </c>
      <c r="AG142" s="48">
        <v>8461.0498846183218</v>
      </c>
      <c r="AH142" s="48">
        <v>8461.0498846183218</v>
      </c>
      <c r="AI142" s="48">
        <v>8461.0498846183218</v>
      </c>
      <c r="AJ142" s="48">
        <v>8461.0498846183218</v>
      </c>
      <c r="AK142" s="48">
        <v>8461.0498846183218</v>
      </c>
      <c r="AL142" s="48">
        <v>8461.0498846183218</v>
      </c>
      <c r="AM142" s="48">
        <v>8461.0498846183218</v>
      </c>
      <c r="AN142" s="48">
        <v>8461.0498846183218</v>
      </c>
      <c r="AO142" s="48">
        <v>8461.0498846183218</v>
      </c>
      <c r="AP142" s="48">
        <v>8461.0498846183218</v>
      </c>
    </row>
    <row r="143" spans="1:42" x14ac:dyDescent="0.3">
      <c r="A143" s="48">
        <f t="shared" ref="A143" si="15">A142</f>
        <v>15</v>
      </c>
      <c r="B143" s="129" t="s">
        <v>38</v>
      </c>
      <c r="C143" s="48" t="s">
        <v>39</v>
      </c>
      <c r="D143" s="48">
        <v>2</v>
      </c>
      <c r="E143" s="48" t="s">
        <v>335</v>
      </c>
      <c r="F143" s="48" t="s">
        <v>349</v>
      </c>
      <c r="G143" s="48" t="s">
        <v>350</v>
      </c>
      <c r="H143" s="48" t="s">
        <v>427</v>
      </c>
      <c r="I143" s="48">
        <v>0</v>
      </c>
      <c r="J143" s="48">
        <v>50</v>
      </c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</row>
    <row r="144" spans="1:42" x14ac:dyDescent="0.3">
      <c r="A144" s="48">
        <f t="shared" si="3"/>
        <v>15</v>
      </c>
      <c r="B144" s="129" t="s">
        <v>38</v>
      </c>
      <c r="C144" s="48" t="s">
        <v>39</v>
      </c>
      <c r="D144" s="48">
        <v>3</v>
      </c>
      <c r="E144" s="48" t="s">
        <v>336</v>
      </c>
      <c r="F144" s="48" t="s">
        <v>351</v>
      </c>
      <c r="G144" s="48" t="s">
        <v>350</v>
      </c>
      <c r="H144" s="48" t="s">
        <v>427</v>
      </c>
      <c r="I144" s="49">
        <v>0</v>
      </c>
      <c r="J144" s="49">
        <v>0.63</v>
      </c>
      <c r="K144" s="49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</row>
    <row r="145" spans="1:42" x14ac:dyDescent="0.3">
      <c r="A145" s="48">
        <f t="shared" si="3"/>
        <v>15</v>
      </c>
      <c r="B145" s="129" t="s">
        <v>38</v>
      </c>
      <c r="C145" s="48" t="s">
        <v>39</v>
      </c>
      <c r="D145" s="48">
        <v>4</v>
      </c>
      <c r="E145" s="48" t="s">
        <v>339</v>
      </c>
      <c r="F145" s="48" t="s">
        <v>352</v>
      </c>
      <c r="G145" s="48" t="s">
        <v>350</v>
      </c>
      <c r="H145" s="48"/>
      <c r="I145" s="48">
        <v>0</v>
      </c>
      <c r="J145" s="48">
        <v>0</v>
      </c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</row>
    <row r="146" spans="1:42" x14ac:dyDescent="0.3">
      <c r="A146" s="48">
        <f t="shared" si="3"/>
        <v>15</v>
      </c>
      <c r="B146" s="129" t="s">
        <v>38</v>
      </c>
      <c r="C146" s="48" t="s">
        <v>39</v>
      </c>
      <c r="D146" s="48">
        <v>5</v>
      </c>
      <c r="E146" s="127" t="s">
        <v>340</v>
      </c>
      <c r="F146" s="48" t="s">
        <v>352</v>
      </c>
      <c r="G146" s="92" t="s">
        <v>338</v>
      </c>
      <c r="H146" s="127"/>
      <c r="I146" s="127">
        <v>0</v>
      </c>
      <c r="J146" s="127">
        <v>0</v>
      </c>
      <c r="K146" s="127">
        <v>0</v>
      </c>
      <c r="L146" s="127">
        <v>0</v>
      </c>
      <c r="M146" s="127">
        <v>0</v>
      </c>
      <c r="N146" s="127">
        <v>0</v>
      </c>
      <c r="O146" s="127">
        <v>0</v>
      </c>
      <c r="P146" s="127">
        <v>0</v>
      </c>
      <c r="Q146" s="127">
        <v>0</v>
      </c>
      <c r="R146" s="127">
        <v>0</v>
      </c>
      <c r="S146" s="127">
        <v>0</v>
      </c>
      <c r="T146" s="127">
        <v>0</v>
      </c>
      <c r="U146" s="127">
        <v>0</v>
      </c>
      <c r="V146" s="127">
        <v>0</v>
      </c>
      <c r="W146" s="127">
        <v>0</v>
      </c>
      <c r="X146" s="127">
        <v>0</v>
      </c>
      <c r="Y146" s="127">
        <v>0</v>
      </c>
      <c r="Z146" s="127">
        <v>0</v>
      </c>
      <c r="AA146" s="127">
        <v>0</v>
      </c>
      <c r="AB146" s="127">
        <v>0</v>
      </c>
      <c r="AC146" s="127">
        <v>0</v>
      </c>
      <c r="AD146" s="127">
        <v>0</v>
      </c>
      <c r="AE146" s="127">
        <v>0</v>
      </c>
      <c r="AF146" s="127">
        <v>0</v>
      </c>
      <c r="AG146" s="127">
        <v>0</v>
      </c>
      <c r="AH146" s="127">
        <v>0</v>
      </c>
      <c r="AI146" s="127">
        <v>0</v>
      </c>
      <c r="AJ146" s="127">
        <v>0</v>
      </c>
      <c r="AK146" s="127">
        <v>0</v>
      </c>
      <c r="AL146" s="127">
        <v>0</v>
      </c>
      <c r="AM146" s="127">
        <v>0</v>
      </c>
      <c r="AN146" s="127">
        <v>0</v>
      </c>
      <c r="AO146" s="127">
        <v>0</v>
      </c>
      <c r="AP146" s="127">
        <v>0</v>
      </c>
    </row>
    <row r="147" spans="1:42" x14ac:dyDescent="0.3">
      <c r="A147" s="48">
        <f t="shared" si="3"/>
        <v>15</v>
      </c>
      <c r="B147" s="129" t="s">
        <v>38</v>
      </c>
      <c r="C147" s="48" t="s">
        <v>39</v>
      </c>
      <c r="D147" s="48">
        <v>6</v>
      </c>
      <c r="E147" s="48" t="s">
        <v>341</v>
      </c>
      <c r="F147" s="48"/>
      <c r="G147" s="48" t="s">
        <v>334</v>
      </c>
      <c r="H147" s="48"/>
      <c r="I147" s="48">
        <v>0</v>
      </c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</row>
    <row r="148" spans="1:42" x14ac:dyDescent="0.3">
      <c r="A148" s="48">
        <f t="shared" si="3"/>
        <v>15</v>
      </c>
      <c r="B148" s="129" t="s">
        <v>38</v>
      </c>
      <c r="C148" s="48" t="s">
        <v>39</v>
      </c>
      <c r="D148" s="48">
        <v>7</v>
      </c>
      <c r="E148" s="127" t="s">
        <v>343</v>
      </c>
      <c r="F148" s="48"/>
      <c r="G148" s="92" t="s">
        <v>338</v>
      </c>
      <c r="H148" s="127"/>
      <c r="I148" s="127">
        <v>0</v>
      </c>
      <c r="J148" s="127">
        <v>0</v>
      </c>
      <c r="K148" s="127">
        <v>0</v>
      </c>
      <c r="L148" s="127">
        <v>0</v>
      </c>
      <c r="M148" s="127">
        <v>0</v>
      </c>
      <c r="N148" s="127">
        <v>0</v>
      </c>
      <c r="O148" s="127">
        <v>0</v>
      </c>
      <c r="P148" s="127">
        <v>0</v>
      </c>
      <c r="Q148" s="127">
        <v>0</v>
      </c>
      <c r="R148" s="127">
        <v>0</v>
      </c>
      <c r="S148" s="127">
        <v>0</v>
      </c>
      <c r="T148" s="127">
        <v>0</v>
      </c>
      <c r="U148" s="127">
        <v>0</v>
      </c>
      <c r="V148" s="127">
        <v>0</v>
      </c>
      <c r="W148" s="127">
        <v>0</v>
      </c>
      <c r="X148" s="127">
        <v>0</v>
      </c>
      <c r="Y148" s="127">
        <v>0</v>
      </c>
      <c r="Z148" s="127">
        <v>0</v>
      </c>
      <c r="AA148" s="127">
        <v>0</v>
      </c>
      <c r="AB148" s="127">
        <v>0</v>
      </c>
      <c r="AC148" s="127">
        <v>0</v>
      </c>
      <c r="AD148" s="127">
        <v>0</v>
      </c>
      <c r="AE148" s="127">
        <v>0</v>
      </c>
      <c r="AF148" s="127">
        <v>0</v>
      </c>
      <c r="AG148" s="127">
        <v>0</v>
      </c>
      <c r="AH148" s="127">
        <v>0</v>
      </c>
      <c r="AI148" s="127">
        <v>0</v>
      </c>
      <c r="AJ148" s="127">
        <v>0</v>
      </c>
      <c r="AK148" s="127">
        <v>0</v>
      </c>
      <c r="AL148" s="127">
        <v>0</v>
      </c>
      <c r="AM148" s="127">
        <v>0</v>
      </c>
      <c r="AN148" s="127">
        <v>0</v>
      </c>
      <c r="AO148" s="127">
        <v>0</v>
      </c>
      <c r="AP148" s="127">
        <v>0</v>
      </c>
    </row>
    <row r="149" spans="1:42" x14ac:dyDescent="0.3">
      <c r="A149" s="48">
        <f t="shared" si="3"/>
        <v>15</v>
      </c>
      <c r="B149" s="129" t="s">
        <v>38</v>
      </c>
      <c r="C149" s="48" t="s">
        <v>39</v>
      </c>
      <c r="D149" s="48">
        <v>8</v>
      </c>
      <c r="E149" s="48" t="s">
        <v>344</v>
      </c>
      <c r="F149" s="48" t="s">
        <v>352</v>
      </c>
      <c r="G149" s="48" t="s">
        <v>334</v>
      </c>
      <c r="H149" s="48"/>
      <c r="I149" s="48">
        <v>0</v>
      </c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</row>
    <row r="150" spans="1:42" x14ac:dyDescent="0.3">
      <c r="A150" s="48">
        <f t="shared" si="3"/>
        <v>15</v>
      </c>
      <c r="B150" s="129" t="s">
        <v>38</v>
      </c>
      <c r="C150" s="48" t="s">
        <v>39</v>
      </c>
      <c r="D150" s="48">
        <v>9</v>
      </c>
      <c r="E150" s="127" t="s">
        <v>345</v>
      </c>
      <c r="F150" s="48" t="s">
        <v>353</v>
      </c>
      <c r="G150" s="127" t="s">
        <v>350</v>
      </c>
      <c r="H150" s="48" t="s">
        <v>427</v>
      </c>
      <c r="I150" s="48">
        <v>0</v>
      </c>
      <c r="J150" s="127">
        <v>0.5</v>
      </c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</row>
    <row r="151" spans="1:42" x14ac:dyDescent="0.3">
      <c r="A151" s="48">
        <f t="shared" si="3"/>
        <v>15</v>
      </c>
      <c r="B151" s="129" t="s">
        <v>38</v>
      </c>
      <c r="C151" s="48" t="s">
        <v>39</v>
      </c>
      <c r="D151" s="48">
        <v>10</v>
      </c>
      <c r="E151" s="48" t="s">
        <v>346</v>
      </c>
      <c r="F151" s="48" t="s">
        <v>353</v>
      </c>
      <c r="G151" s="48" t="s">
        <v>350</v>
      </c>
      <c r="H151" s="48"/>
      <c r="I151" s="48">
        <v>0</v>
      </c>
      <c r="J151" s="48">
        <v>1</v>
      </c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</row>
    <row r="152" spans="1:42" x14ac:dyDescent="0.3">
      <c r="A152" s="2">
        <f t="shared" ref="A152" si="16">A142+1</f>
        <v>16</v>
      </c>
      <c r="B152" s="2" t="s">
        <v>41</v>
      </c>
      <c r="C152" s="2" t="s">
        <v>42</v>
      </c>
      <c r="D152" s="2">
        <v>1</v>
      </c>
      <c r="E152" s="2" t="s">
        <v>333</v>
      </c>
      <c r="F152" s="2" t="s">
        <v>349</v>
      </c>
      <c r="G152" s="2" t="s">
        <v>350</v>
      </c>
      <c r="H152" s="2" t="s">
        <v>427</v>
      </c>
      <c r="I152" s="2">
        <v>0</v>
      </c>
      <c r="J152" s="2">
        <v>4000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x14ac:dyDescent="0.3">
      <c r="A153" s="2">
        <f t="shared" ref="A153" si="17">A152</f>
        <v>16</v>
      </c>
      <c r="B153" s="2" t="s">
        <v>41</v>
      </c>
      <c r="C153" s="2" t="s">
        <v>42</v>
      </c>
      <c r="D153" s="2">
        <v>2</v>
      </c>
      <c r="E153" s="2" t="s">
        <v>335</v>
      </c>
      <c r="F153" s="2" t="s">
        <v>349</v>
      </c>
      <c r="G153" s="2" t="s">
        <v>350</v>
      </c>
      <c r="H153" s="2" t="s">
        <v>427</v>
      </c>
      <c r="I153" s="2">
        <v>0</v>
      </c>
      <c r="J153" s="2">
        <v>120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x14ac:dyDescent="0.3">
      <c r="A154" s="2">
        <f t="shared" si="3"/>
        <v>16</v>
      </c>
      <c r="B154" s="2" t="s">
        <v>41</v>
      </c>
      <c r="C154" s="2" t="s">
        <v>42</v>
      </c>
      <c r="D154" s="2">
        <v>3</v>
      </c>
      <c r="E154" s="2" t="s">
        <v>336</v>
      </c>
      <c r="F154" s="2" t="s">
        <v>351</v>
      </c>
      <c r="G154" s="2" t="s">
        <v>350</v>
      </c>
      <c r="H154" s="2" t="s">
        <v>427</v>
      </c>
      <c r="I154" s="47">
        <v>0</v>
      </c>
      <c r="J154" s="47">
        <v>1E-3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x14ac:dyDescent="0.3">
      <c r="A155" s="2">
        <f t="shared" si="3"/>
        <v>16</v>
      </c>
      <c r="B155" s="2" t="s">
        <v>41</v>
      </c>
      <c r="C155" s="2" t="s">
        <v>42</v>
      </c>
      <c r="D155" s="2">
        <v>4</v>
      </c>
      <c r="E155" s="2" t="s">
        <v>339</v>
      </c>
      <c r="F155" s="2" t="s">
        <v>352</v>
      </c>
      <c r="G155" s="2" t="s">
        <v>350</v>
      </c>
      <c r="H155" s="2"/>
      <c r="I155" s="2">
        <v>0</v>
      </c>
      <c r="J155" s="2">
        <v>0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x14ac:dyDescent="0.3">
      <c r="A156" s="2">
        <f t="shared" si="3"/>
        <v>16</v>
      </c>
      <c r="B156" s="2" t="s">
        <v>41</v>
      </c>
      <c r="C156" s="2" t="s">
        <v>42</v>
      </c>
      <c r="D156" s="2">
        <v>5</v>
      </c>
      <c r="E156" s="2" t="s">
        <v>340</v>
      </c>
      <c r="F156" s="2" t="s">
        <v>352</v>
      </c>
      <c r="G156" s="53" t="s">
        <v>350</v>
      </c>
      <c r="H156" s="53"/>
      <c r="I156" s="53">
        <v>0</v>
      </c>
      <c r="J156" s="53">
        <v>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x14ac:dyDescent="0.3">
      <c r="A157" s="2">
        <f t="shared" si="3"/>
        <v>16</v>
      </c>
      <c r="B157" s="2" t="s">
        <v>41</v>
      </c>
      <c r="C157" s="2" t="s">
        <v>42</v>
      </c>
      <c r="D157" s="2">
        <v>6</v>
      </c>
      <c r="E157" s="2" t="s">
        <v>341</v>
      </c>
      <c r="F157" s="2"/>
      <c r="G157" s="2" t="s">
        <v>334</v>
      </c>
      <c r="H157" s="2"/>
      <c r="I157" s="2">
        <v>0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x14ac:dyDescent="0.3">
      <c r="A158" s="2">
        <f t="shared" si="3"/>
        <v>16</v>
      </c>
      <c r="B158" s="2" t="s">
        <v>41</v>
      </c>
      <c r="C158" s="2" t="s">
        <v>42</v>
      </c>
      <c r="D158" s="2">
        <v>7</v>
      </c>
      <c r="E158" s="2" t="s">
        <v>343</v>
      </c>
      <c r="F158" s="2"/>
      <c r="G158" s="2" t="s">
        <v>334</v>
      </c>
      <c r="H158" s="2"/>
      <c r="I158" s="2">
        <v>0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x14ac:dyDescent="0.3">
      <c r="A159" s="2">
        <f t="shared" si="3"/>
        <v>16</v>
      </c>
      <c r="B159" s="2" t="s">
        <v>41</v>
      </c>
      <c r="C159" s="2" t="s">
        <v>42</v>
      </c>
      <c r="D159" s="2">
        <v>8</v>
      </c>
      <c r="E159" s="2" t="s">
        <v>344</v>
      </c>
      <c r="F159" s="2" t="s">
        <v>352</v>
      </c>
      <c r="G159" s="2" t="s">
        <v>334</v>
      </c>
      <c r="H159" s="2"/>
      <c r="I159" s="2">
        <v>0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x14ac:dyDescent="0.3">
      <c r="A160" s="2">
        <f t="shared" si="3"/>
        <v>16</v>
      </c>
      <c r="B160" s="2" t="s">
        <v>41</v>
      </c>
      <c r="C160" s="2" t="s">
        <v>42</v>
      </c>
      <c r="D160" s="2">
        <v>9</v>
      </c>
      <c r="E160" s="2" t="s">
        <v>345</v>
      </c>
      <c r="F160" s="2" t="s">
        <v>353</v>
      </c>
      <c r="G160" s="2" t="s">
        <v>350</v>
      </c>
      <c r="H160" s="2" t="s">
        <v>427</v>
      </c>
      <c r="I160" s="2">
        <v>0</v>
      </c>
      <c r="J160" s="2">
        <v>0.86953631887366822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x14ac:dyDescent="0.3">
      <c r="A161" s="2">
        <f t="shared" si="3"/>
        <v>16</v>
      </c>
      <c r="B161" s="2" t="s">
        <v>41</v>
      </c>
      <c r="C161" s="2" t="s">
        <v>42</v>
      </c>
      <c r="D161" s="2">
        <v>10</v>
      </c>
      <c r="E161" s="2" t="s">
        <v>346</v>
      </c>
      <c r="F161" s="2" t="s">
        <v>353</v>
      </c>
      <c r="G161" s="2" t="s">
        <v>350</v>
      </c>
      <c r="H161" s="2"/>
      <c r="I161" s="2">
        <v>0</v>
      </c>
      <c r="J161" s="2">
        <v>1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x14ac:dyDescent="0.3">
      <c r="A162" s="48">
        <f t="shared" ref="A162" si="18">A152+1</f>
        <v>17</v>
      </c>
      <c r="B162" s="48" t="s">
        <v>43</v>
      </c>
      <c r="C162" s="48" t="s">
        <v>44</v>
      </c>
      <c r="D162" s="48">
        <v>1</v>
      </c>
      <c r="E162" s="48" t="s">
        <v>333</v>
      </c>
      <c r="F162" s="48" t="s">
        <v>349</v>
      </c>
      <c r="G162" s="48" t="s">
        <v>338</v>
      </c>
      <c r="H162" s="48" t="s">
        <v>430</v>
      </c>
      <c r="I162" s="48">
        <v>0</v>
      </c>
      <c r="J162" s="48">
        <v>1749.2599943294586</v>
      </c>
      <c r="K162" s="48">
        <v>1749.2599943294586</v>
      </c>
      <c r="L162" s="48">
        <v>1688</v>
      </c>
      <c r="M162" s="48">
        <v>1626.7400056705414</v>
      </c>
      <c r="N162" s="48">
        <v>1565.4800113410831</v>
      </c>
      <c r="O162" s="48">
        <v>1504.2200170116248</v>
      </c>
      <c r="P162" s="48">
        <v>1442.9600226821663</v>
      </c>
      <c r="Q162" s="48">
        <v>3279.9600226821663</v>
      </c>
      <c r="R162" s="48">
        <v>3149.7000283527077</v>
      </c>
      <c r="S162" s="48">
        <v>3019.4400340232492</v>
      </c>
      <c r="T162" s="48">
        <v>2889.1800396937906</v>
      </c>
      <c r="U162" s="48">
        <v>2759.9200453643325</v>
      </c>
      <c r="V162" s="48">
        <v>2629.660051034874</v>
      </c>
      <c r="W162" s="48">
        <v>2608.2934505245248</v>
      </c>
      <c r="X162" s="48">
        <v>2585.9268500141761</v>
      </c>
      <c r="Y162" s="48">
        <v>2564.5602495038274</v>
      </c>
      <c r="Z162" s="48">
        <v>2543.1936489934787</v>
      </c>
      <c r="AA162" s="48">
        <v>2521.8270484831301</v>
      </c>
      <c r="AB162" s="48">
        <v>2500.4604479727814</v>
      </c>
      <c r="AC162" s="48">
        <v>2478.0938474624327</v>
      </c>
      <c r="AD162" s="48">
        <v>2456.727246952084</v>
      </c>
      <c r="AE162" s="48">
        <v>2435.3606464417353</v>
      </c>
      <c r="AF162" s="48">
        <v>2413.9940459313866</v>
      </c>
      <c r="AG162" s="48">
        <v>2391.6274454210379</v>
      </c>
      <c r="AH162" s="48">
        <v>2370.2608449106892</v>
      </c>
      <c r="AI162" s="48">
        <v>2348.8942444003405</v>
      </c>
      <c r="AJ162" s="48">
        <v>2327.5276438899919</v>
      </c>
      <c r="AK162" s="48">
        <v>2306.1610433796427</v>
      </c>
      <c r="AL162" s="48">
        <v>2283.794442869294</v>
      </c>
      <c r="AM162" s="48">
        <v>2262.4278423589453</v>
      </c>
      <c r="AN162" s="48">
        <v>2241.0612418485966</v>
      </c>
      <c r="AO162" s="48">
        <v>2219.6946413382479</v>
      </c>
      <c r="AP162" s="48">
        <v>2197.3280408278993</v>
      </c>
    </row>
    <row r="163" spans="1:42" x14ac:dyDescent="0.3">
      <c r="A163" s="48">
        <f t="shared" ref="A163" si="19">A162</f>
        <v>17</v>
      </c>
      <c r="B163" s="48" t="s">
        <v>43</v>
      </c>
      <c r="C163" s="48" t="s">
        <v>44</v>
      </c>
      <c r="D163" s="48">
        <v>2</v>
      </c>
      <c r="E163" s="48" t="s">
        <v>335</v>
      </c>
      <c r="F163" s="48" t="s">
        <v>349</v>
      </c>
      <c r="G163" s="48" t="s">
        <v>338</v>
      </c>
      <c r="H163" s="48" t="s">
        <v>430</v>
      </c>
      <c r="I163" s="48">
        <v>0</v>
      </c>
      <c r="J163" s="48">
        <v>26.72168094846813</v>
      </c>
      <c r="K163" s="48">
        <v>26.72168094846813</v>
      </c>
      <c r="L163" s="48">
        <v>26.47</v>
      </c>
      <c r="M163" s="48">
        <v>26.218319051531868</v>
      </c>
      <c r="N163" s="48">
        <v>25.966638103063744</v>
      </c>
      <c r="O163" s="48">
        <v>25.714957154595609</v>
      </c>
      <c r="P163" s="48">
        <v>25.463276206127482</v>
      </c>
      <c r="Q163" s="48">
        <v>61.463276206127482</v>
      </c>
      <c r="R163" s="48">
        <v>60.211595257659354</v>
      </c>
      <c r="S163" s="48">
        <v>58.95991430919122</v>
      </c>
      <c r="T163" s="48">
        <v>56.708233360723092</v>
      </c>
      <c r="U163" s="48">
        <v>55.456552412254965</v>
      </c>
      <c r="V163" s="48">
        <v>54.20487146378683</v>
      </c>
      <c r="W163" s="48">
        <v>54.023334927808435</v>
      </c>
      <c r="X163" s="48">
        <v>52.841798391830032</v>
      </c>
      <c r="Y163" s="48">
        <v>52.66026185585163</v>
      </c>
      <c r="Z163" s="48">
        <v>51.478725319873227</v>
      </c>
      <c r="AA163" s="48">
        <v>51.297188783894825</v>
      </c>
      <c r="AB163" s="48">
        <v>50.115652247916429</v>
      </c>
      <c r="AC163" s="48">
        <v>49.93411571193802</v>
      </c>
      <c r="AD163" s="48">
        <v>48.752579175959625</v>
      </c>
      <c r="AE163" s="48">
        <v>48.571042639981215</v>
      </c>
      <c r="AF163" s="48">
        <v>47.38950610400282</v>
      </c>
      <c r="AG163" s="48">
        <v>47.207969568024417</v>
      </c>
      <c r="AH163" s="48">
        <v>47.026433032046015</v>
      </c>
      <c r="AI163" s="48">
        <v>45.844896496067619</v>
      </c>
      <c r="AJ163" s="48">
        <v>45.66335996008921</v>
      </c>
      <c r="AK163" s="48">
        <v>44.481823424110807</v>
      </c>
      <c r="AL163" s="48">
        <v>44.300286888132405</v>
      </c>
      <c r="AM163" s="48">
        <v>43.118750352154009</v>
      </c>
      <c r="AN163" s="48">
        <v>42.937213816175607</v>
      </c>
      <c r="AO163" s="48">
        <v>41.755677280197204</v>
      </c>
      <c r="AP163" s="48">
        <v>41.574140744218809</v>
      </c>
    </row>
    <row r="164" spans="1:42" x14ac:dyDescent="0.3">
      <c r="A164" s="48">
        <f t="shared" si="3"/>
        <v>17</v>
      </c>
      <c r="B164" s="48" t="s">
        <v>43</v>
      </c>
      <c r="C164" s="48" t="s">
        <v>44</v>
      </c>
      <c r="D164" s="48">
        <v>3</v>
      </c>
      <c r="E164" s="48" t="s">
        <v>336</v>
      </c>
      <c r="F164" s="48" t="s">
        <v>351</v>
      </c>
      <c r="G164" s="48" t="s">
        <v>350</v>
      </c>
      <c r="H164" s="48"/>
      <c r="I164" s="49">
        <v>0</v>
      </c>
      <c r="J164" s="49">
        <v>0</v>
      </c>
      <c r="K164" s="49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</row>
    <row r="165" spans="1:42" x14ac:dyDescent="0.3">
      <c r="A165" s="48">
        <f t="shared" si="3"/>
        <v>17</v>
      </c>
      <c r="B165" s="48" t="s">
        <v>43</v>
      </c>
      <c r="C165" s="48" t="s">
        <v>44</v>
      </c>
      <c r="D165" s="48">
        <v>4</v>
      </c>
      <c r="E165" s="48" t="s">
        <v>339</v>
      </c>
      <c r="F165" s="48" t="s">
        <v>352</v>
      </c>
      <c r="G165" s="48" t="s">
        <v>350</v>
      </c>
      <c r="H165" s="48" t="s">
        <v>429</v>
      </c>
      <c r="I165" s="48">
        <v>0</v>
      </c>
      <c r="J165" s="48">
        <v>0.18325</v>
      </c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</row>
    <row r="166" spans="1:42" x14ac:dyDescent="0.3">
      <c r="A166" s="48">
        <f t="shared" si="3"/>
        <v>17</v>
      </c>
      <c r="B166" s="48" t="s">
        <v>43</v>
      </c>
      <c r="C166" s="48" t="s">
        <v>44</v>
      </c>
      <c r="D166" s="48">
        <v>5</v>
      </c>
      <c r="E166" s="48" t="s">
        <v>340</v>
      </c>
      <c r="F166" s="48" t="s">
        <v>352</v>
      </c>
      <c r="G166" s="48" t="s">
        <v>338</v>
      </c>
      <c r="H166" s="48" t="s">
        <v>429</v>
      </c>
      <c r="I166" s="48">
        <v>0</v>
      </c>
      <c r="J166" s="48">
        <v>0.18325</v>
      </c>
      <c r="K166" s="48">
        <v>0.37025000000000002</v>
      </c>
      <c r="L166" s="48">
        <v>0.37025000000000002</v>
      </c>
      <c r="M166" s="48">
        <v>0.37025000000000002</v>
      </c>
      <c r="N166" s="48">
        <v>0.41705000000000003</v>
      </c>
      <c r="O166" s="48">
        <v>0.41705000000000003</v>
      </c>
      <c r="P166" s="48">
        <f>O166</f>
        <v>0.41705000000000003</v>
      </c>
      <c r="Q166" s="48">
        <f t="shared" ref="Q166:AP166" si="20">P166</f>
        <v>0.41705000000000003</v>
      </c>
      <c r="R166" s="48">
        <f t="shared" si="20"/>
        <v>0.41705000000000003</v>
      </c>
      <c r="S166" s="48">
        <f t="shared" si="20"/>
        <v>0.41705000000000003</v>
      </c>
      <c r="T166" s="48">
        <f t="shared" si="20"/>
        <v>0.41705000000000003</v>
      </c>
      <c r="U166" s="48">
        <f t="shared" si="20"/>
        <v>0.41705000000000003</v>
      </c>
      <c r="V166" s="48">
        <f t="shared" si="20"/>
        <v>0.41705000000000003</v>
      </c>
      <c r="W166" s="48">
        <f t="shared" si="20"/>
        <v>0.41705000000000003</v>
      </c>
      <c r="X166" s="48">
        <f t="shared" si="20"/>
        <v>0.41705000000000003</v>
      </c>
      <c r="Y166" s="48">
        <f t="shared" si="20"/>
        <v>0.41705000000000003</v>
      </c>
      <c r="Z166" s="48">
        <f t="shared" si="20"/>
        <v>0.41705000000000003</v>
      </c>
      <c r="AA166" s="48">
        <f t="shared" si="20"/>
        <v>0.41705000000000003</v>
      </c>
      <c r="AB166" s="48">
        <f t="shared" si="20"/>
        <v>0.41705000000000003</v>
      </c>
      <c r="AC166" s="48">
        <f t="shared" si="20"/>
        <v>0.41705000000000003</v>
      </c>
      <c r="AD166" s="48">
        <f t="shared" si="20"/>
        <v>0.41705000000000003</v>
      </c>
      <c r="AE166" s="48">
        <f t="shared" si="20"/>
        <v>0.41705000000000003</v>
      </c>
      <c r="AF166" s="48">
        <f t="shared" si="20"/>
        <v>0.41705000000000003</v>
      </c>
      <c r="AG166" s="48">
        <f t="shared" si="20"/>
        <v>0.41705000000000003</v>
      </c>
      <c r="AH166" s="48">
        <f t="shared" si="20"/>
        <v>0.41705000000000003</v>
      </c>
      <c r="AI166" s="48">
        <f t="shared" si="20"/>
        <v>0.41705000000000003</v>
      </c>
      <c r="AJ166" s="48">
        <f t="shared" si="20"/>
        <v>0.41705000000000003</v>
      </c>
      <c r="AK166" s="48">
        <f t="shared" si="20"/>
        <v>0.41705000000000003</v>
      </c>
      <c r="AL166" s="48">
        <f t="shared" si="20"/>
        <v>0.41705000000000003</v>
      </c>
      <c r="AM166" s="48">
        <f t="shared" si="20"/>
        <v>0.41705000000000003</v>
      </c>
      <c r="AN166" s="48">
        <f t="shared" si="20"/>
        <v>0.41705000000000003</v>
      </c>
      <c r="AO166" s="48">
        <f t="shared" si="20"/>
        <v>0.41705000000000003</v>
      </c>
      <c r="AP166" s="48">
        <f t="shared" si="20"/>
        <v>0.41705000000000003</v>
      </c>
    </row>
    <row r="167" spans="1:42" x14ac:dyDescent="0.3">
      <c r="A167" s="48">
        <f t="shared" ref="A167:A230" si="21">A166</f>
        <v>17</v>
      </c>
      <c r="B167" s="48" t="s">
        <v>43</v>
      </c>
      <c r="C167" s="48" t="s">
        <v>44</v>
      </c>
      <c r="D167" s="48">
        <v>6</v>
      </c>
      <c r="E167" s="48" t="s">
        <v>341</v>
      </c>
      <c r="F167" s="48"/>
      <c r="G167" s="48" t="s">
        <v>334</v>
      </c>
      <c r="H167" s="48"/>
      <c r="I167" s="48">
        <v>0</v>
      </c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</row>
    <row r="168" spans="1:42" x14ac:dyDescent="0.3">
      <c r="A168" s="48">
        <f t="shared" si="21"/>
        <v>17</v>
      </c>
      <c r="B168" s="48" t="s">
        <v>43</v>
      </c>
      <c r="C168" s="48" t="s">
        <v>44</v>
      </c>
      <c r="D168" s="48">
        <v>7</v>
      </c>
      <c r="E168" s="48" t="s">
        <v>343</v>
      </c>
      <c r="F168" s="48" t="s">
        <v>342</v>
      </c>
      <c r="G168" s="48" t="s">
        <v>338</v>
      </c>
      <c r="H168" s="48" t="s">
        <v>429</v>
      </c>
      <c r="I168" s="48">
        <v>0</v>
      </c>
      <c r="J168" s="48">
        <v>1.6976735999999999</v>
      </c>
      <c r="K168" s="48">
        <v>2.7834861599999998</v>
      </c>
      <c r="L168" s="48">
        <v>3.884328</v>
      </c>
      <c r="M168" s="48">
        <v>4.3429679999999982</v>
      </c>
      <c r="N168" s="48">
        <v>4.1453999999999995</v>
      </c>
      <c r="O168" s="48">
        <v>3.9831119999999998</v>
      </c>
      <c r="P168" s="131">
        <f>P166*P170*8760*0.0036*1*0.98</f>
        <v>3.9831119999999998</v>
      </c>
      <c r="Q168" s="48">
        <f>P168</f>
        <v>3.9831119999999998</v>
      </c>
      <c r="R168" s="48">
        <f t="shared" ref="R168:AP168" si="22">Q168</f>
        <v>3.9831119999999998</v>
      </c>
      <c r="S168" s="48">
        <f t="shared" si="22"/>
        <v>3.9831119999999998</v>
      </c>
      <c r="T168" s="48">
        <f t="shared" si="22"/>
        <v>3.9831119999999998</v>
      </c>
      <c r="U168" s="48">
        <f t="shared" si="22"/>
        <v>3.9831119999999998</v>
      </c>
      <c r="V168" s="48">
        <f t="shared" si="22"/>
        <v>3.9831119999999998</v>
      </c>
      <c r="W168" s="48">
        <f t="shared" si="22"/>
        <v>3.9831119999999998</v>
      </c>
      <c r="X168" s="48">
        <f t="shared" si="22"/>
        <v>3.9831119999999998</v>
      </c>
      <c r="Y168" s="48">
        <f t="shared" si="22"/>
        <v>3.9831119999999998</v>
      </c>
      <c r="Z168" s="48">
        <f t="shared" si="22"/>
        <v>3.9831119999999998</v>
      </c>
      <c r="AA168" s="48">
        <f t="shared" si="22"/>
        <v>3.9831119999999998</v>
      </c>
      <c r="AB168" s="48">
        <f t="shared" si="22"/>
        <v>3.9831119999999998</v>
      </c>
      <c r="AC168" s="48">
        <f t="shared" si="22"/>
        <v>3.9831119999999998</v>
      </c>
      <c r="AD168" s="48">
        <f t="shared" si="22"/>
        <v>3.9831119999999998</v>
      </c>
      <c r="AE168" s="48">
        <f t="shared" si="22"/>
        <v>3.9831119999999998</v>
      </c>
      <c r="AF168" s="48">
        <f t="shared" si="22"/>
        <v>3.9831119999999998</v>
      </c>
      <c r="AG168" s="48">
        <f t="shared" si="22"/>
        <v>3.9831119999999998</v>
      </c>
      <c r="AH168" s="48">
        <f t="shared" si="22"/>
        <v>3.9831119999999998</v>
      </c>
      <c r="AI168" s="48">
        <f t="shared" si="22"/>
        <v>3.9831119999999998</v>
      </c>
      <c r="AJ168" s="48">
        <f t="shared" si="22"/>
        <v>3.9831119999999998</v>
      </c>
      <c r="AK168" s="48">
        <f t="shared" si="22"/>
        <v>3.9831119999999998</v>
      </c>
      <c r="AL168" s="48">
        <f t="shared" si="22"/>
        <v>3.9831119999999998</v>
      </c>
      <c r="AM168" s="48">
        <f t="shared" si="22"/>
        <v>3.9831119999999998</v>
      </c>
      <c r="AN168" s="48">
        <f t="shared" si="22"/>
        <v>3.9831119999999998</v>
      </c>
      <c r="AO168" s="48">
        <f t="shared" si="22"/>
        <v>3.9831119999999998</v>
      </c>
      <c r="AP168" s="48">
        <f t="shared" si="22"/>
        <v>3.9831119999999998</v>
      </c>
    </row>
    <row r="169" spans="1:42" x14ac:dyDescent="0.3">
      <c r="A169" s="48">
        <f t="shared" si="21"/>
        <v>17</v>
      </c>
      <c r="B169" s="48" t="s">
        <v>43</v>
      </c>
      <c r="C169" s="48" t="s">
        <v>44</v>
      </c>
      <c r="D169" s="48">
        <v>8</v>
      </c>
      <c r="E169" s="48" t="s">
        <v>344</v>
      </c>
      <c r="F169" s="48" t="s">
        <v>352</v>
      </c>
      <c r="G169" s="48" t="s">
        <v>334</v>
      </c>
      <c r="H169" s="48"/>
      <c r="I169" s="48">
        <v>0</v>
      </c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</row>
    <row r="170" spans="1:42" x14ac:dyDescent="0.3">
      <c r="A170" s="48">
        <f t="shared" si="21"/>
        <v>17</v>
      </c>
      <c r="B170" s="48" t="s">
        <v>43</v>
      </c>
      <c r="C170" s="48" t="s">
        <v>44</v>
      </c>
      <c r="D170" s="48">
        <v>9</v>
      </c>
      <c r="E170" s="48" t="s">
        <v>345</v>
      </c>
      <c r="F170" s="48" t="s">
        <v>353</v>
      </c>
      <c r="G170" s="48" t="s">
        <v>338</v>
      </c>
      <c r="H170" s="48" t="s">
        <v>431</v>
      </c>
      <c r="I170" s="48">
        <v>0</v>
      </c>
      <c r="J170" s="48">
        <v>0.29976265674933189</v>
      </c>
      <c r="K170" s="48">
        <v>0.24325474272289177</v>
      </c>
      <c r="L170" s="48">
        <v>0.3394596394513148</v>
      </c>
      <c r="M170" s="48">
        <v>0.37954115909588421</v>
      </c>
      <c r="N170" s="48">
        <v>0.32162191605640617</v>
      </c>
      <c r="O170" s="48">
        <v>0.3090307601937724</v>
      </c>
      <c r="P170" s="48">
        <f>O170</f>
        <v>0.3090307601937724</v>
      </c>
      <c r="Q170" s="48">
        <f t="shared" ref="Q170:AP170" si="23">P170</f>
        <v>0.3090307601937724</v>
      </c>
      <c r="R170" s="48">
        <f t="shared" si="23"/>
        <v>0.3090307601937724</v>
      </c>
      <c r="S170" s="48">
        <f t="shared" si="23"/>
        <v>0.3090307601937724</v>
      </c>
      <c r="T170" s="48">
        <f t="shared" si="23"/>
        <v>0.3090307601937724</v>
      </c>
      <c r="U170" s="48">
        <f t="shared" si="23"/>
        <v>0.3090307601937724</v>
      </c>
      <c r="V170" s="48">
        <f t="shared" si="23"/>
        <v>0.3090307601937724</v>
      </c>
      <c r="W170" s="48">
        <f t="shared" si="23"/>
        <v>0.3090307601937724</v>
      </c>
      <c r="X170" s="48">
        <f t="shared" si="23"/>
        <v>0.3090307601937724</v>
      </c>
      <c r="Y170" s="48">
        <f t="shared" si="23"/>
        <v>0.3090307601937724</v>
      </c>
      <c r="Z170" s="48">
        <f t="shared" si="23"/>
        <v>0.3090307601937724</v>
      </c>
      <c r="AA170" s="48">
        <f t="shared" si="23"/>
        <v>0.3090307601937724</v>
      </c>
      <c r="AB170" s="48">
        <f t="shared" si="23"/>
        <v>0.3090307601937724</v>
      </c>
      <c r="AC170" s="48">
        <f t="shared" si="23"/>
        <v>0.3090307601937724</v>
      </c>
      <c r="AD170" s="48">
        <f t="shared" si="23"/>
        <v>0.3090307601937724</v>
      </c>
      <c r="AE170" s="48">
        <f t="shared" si="23"/>
        <v>0.3090307601937724</v>
      </c>
      <c r="AF170" s="48">
        <f t="shared" si="23"/>
        <v>0.3090307601937724</v>
      </c>
      <c r="AG170" s="48">
        <f t="shared" si="23"/>
        <v>0.3090307601937724</v>
      </c>
      <c r="AH170" s="48">
        <f t="shared" si="23"/>
        <v>0.3090307601937724</v>
      </c>
      <c r="AI170" s="48">
        <f t="shared" si="23"/>
        <v>0.3090307601937724</v>
      </c>
      <c r="AJ170" s="48">
        <f t="shared" si="23"/>
        <v>0.3090307601937724</v>
      </c>
      <c r="AK170" s="48">
        <f t="shared" si="23"/>
        <v>0.3090307601937724</v>
      </c>
      <c r="AL170" s="48">
        <f t="shared" si="23"/>
        <v>0.3090307601937724</v>
      </c>
      <c r="AM170" s="48">
        <f t="shared" si="23"/>
        <v>0.3090307601937724</v>
      </c>
      <c r="AN170" s="48">
        <f t="shared" si="23"/>
        <v>0.3090307601937724</v>
      </c>
      <c r="AO170" s="48">
        <f t="shared" si="23"/>
        <v>0.3090307601937724</v>
      </c>
      <c r="AP170" s="48">
        <f t="shared" si="23"/>
        <v>0.3090307601937724</v>
      </c>
    </row>
    <row r="171" spans="1:42" x14ac:dyDescent="0.3">
      <c r="A171" s="48">
        <f t="shared" si="21"/>
        <v>17</v>
      </c>
      <c r="B171" s="48" t="s">
        <v>43</v>
      </c>
      <c r="C171" s="48" t="s">
        <v>44</v>
      </c>
      <c r="D171" s="48">
        <v>10</v>
      </c>
      <c r="E171" s="48" t="s">
        <v>346</v>
      </c>
      <c r="F171" s="48" t="s">
        <v>353</v>
      </c>
      <c r="G171" s="48" t="s">
        <v>350</v>
      </c>
      <c r="H171" s="48"/>
      <c r="I171" s="48">
        <v>0</v>
      </c>
      <c r="J171" s="48">
        <v>1</v>
      </c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</row>
    <row r="172" spans="1:42" x14ac:dyDescent="0.3">
      <c r="A172" s="2">
        <f t="shared" ref="A172" si="24">A162+1</f>
        <v>18</v>
      </c>
      <c r="B172" s="2" t="s">
        <v>47</v>
      </c>
      <c r="C172" s="2" t="s">
        <v>48</v>
      </c>
      <c r="D172" s="2">
        <v>1</v>
      </c>
      <c r="E172" s="2" t="s">
        <v>333</v>
      </c>
      <c r="F172" s="2" t="s">
        <v>349</v>
      </c>
      <c r="G172" s="2" t="s">
        <v>338</v>
      </c>
      <c r="H172" s="2" t="s">
        <v>430</v>
      </c>
      <c r="I172" s="2">
        <v>0</v>
      </c>
      <c r="J172" s="2">
        <v>1170.4606992252516</v>
      </c>
      <c r="K172" s="2">
        <v>1170.4606992252516</v>
      </c>
      <c r="L172" s="2">
        <v>1023.5</v>
      </c>
      <c r="M172" s="2">
        <v>983.08337667435876</v>
      </c>
      <c r="N172" s="2">
        <v>942.66675334871718</v>
      </c>
      <c r="O172" s="2">
        <v>902.25013002307594</v>
      </c>
      <c r="P172" s="2">
        <v>861.83350669743481</v>
      </c>
      <c r="Q172" s="2">
        <v>2698.833506697435</v>
      </c>
      <c r="R172" s="2">
        <v>2589.4168833717936</v>
      </c>
      <c r="S172" s="2">
        <v>2480.0002600461521</v>
      </c>
      <c r="T172" s="2">
        <v>2370.5836367205111</v>
      </c>
      <c r="U172" s="2">
        <v>2262.1670133948696</v>
      </c>
      <c r="V172" s="2">
        <v>2152.7503900692282</v>
      </c>
      <c r="W172" s="2">
        <v>2136.8714492400377</v>
      </c>
      <c r="X172" s="2">
        <v>2119.9925084108468</v>
      </c>
      <c r="Y172" s="2">
        <v>2104.1135675816558</v>
      </c>
      <c r="Z172" s="2">
        <v>2088.2346267524649</v>
      </c>
      <c r="AA172" s="2">
        <v>2072.355685923274</v>
      </c>
      <c r="AB172" s="2">
        <v>2056.4767450940831</v>
      </c>
      <c r="AC172" s="2">
        <v>2039.5978042648921</v>
      </c>
      <c r="AD172" s="2">
        <v>2023.7188634357012</v>
      </c>
      <c r="AE172" s="2">
        <v>2007.8399226065103</v>
      </c>
      <c r="AF172" s="2">
        <v>1991.9609817773194</v>
      </c>
      <c r="AG172" s="2">
        <v>1975.0820409481285</v>
      </c>
      <c r="AH172" s="2">
        <v>1959.2031001189375</v>
      </c>
      <c r="AI172" s="2">
        <v>1943.3241592897466</v>
      </c>
      <c r="AJ172" s="2">
        <v>1927.4452184605557</v>
      </c>
      <c r="AK172" s="2">
        <v>1911.5662776313648</v>
      </c>
      <c r="AL172" s="2">
        <v>1894.6873368021738</v>
      </c>
      <c r="AM172" s="2">
        <v>1878.8083959729829</v>
      </c>
      <c r="AN172" s="2">
        <v>1862.929455143792</v>
      </c>
      <c r="AO172" s="2">
        <v>1847.0505143146011</v>
      </c>
      <c r="AP172" s="2">
        <v>1830.1715734854101</v>
      </c>
    </row>
    <row r="173" spans="1:42" x14ac:dyDescent="0.3">
      <c r="A173" s="2">
        <f t="shared" ref="A173" si="25">A172</f>
        <v>18</v>
      </c>
      <c r="B173" s="2" t="s">
        <v>47</v>
      </c>
      <c r="C173" s="2" t="s">
        <v>48</v>
      </c>
      <c r="D173" s="2">
        <v>2</v>
      </c>
      <c r="E173" s="2" t="s">
        <v>335</v>
      </c>
      <c r="F173" s="2" t="s">
        <v>349</v>
      </c>
      <c r="G173" s="2" t="s">
        <v>338</v>
      </c>
      <c r="H173" s="2" t="s">
        <v>430</v>
      </c>
      <c r="I173" s="2">
        <v>0</v>
      </c>
      <c r="J173" s="2">
        <v>16.871359909090909</v>
      </c>
      <c r="K173" s="2">
        <v>16.871359909090909</v>
      </c>
      <c r="L173" s="2">
        <v>15.33</v>
      </c>
      <c r="M173" s="2">
        <v>14.878776636449755</v>
      </c>
      <c r="N173" s="2">
        <v>14.433346131858965</v>
      </c>
      <c r="O173" s="2">
        <v>13.989307942270232</v>
      </c>
      <c r="P173" s="2">
        <v>13.54660475867556</v>
      </c>
      <c r="Q173" s="2">
        <v>49.546604758675556</v>
      </c>
      <c r="R173" s="2">
        <v>48.105182374688923</v>
      </c>
      <c r="S173" s="2">
        <v>46.664989479386122</v>
      </c>
      <c r="T173" s="2">
        <v>44.225977466524213</v>
      </c>
      <c r="U173" s="2">
        <v>42.788100258649266</v>
      </c>
      <c r="V173" s="2">
        <v>41.351314144754376</v>
      </c>
      <c r="W173" s="2">
        <v>41.276216500952053</v>
      </c>
      <c r="X173" s="2">
        <v>40.201312100865728</v>
      </c>
      <c r="Y173" s="2">
        <v>40.126597776565632</v>
      </c>
      <c r="Z173" s="2">
        <v>39.052070428990028</v>
      </c>
      <c r="AA173" s="2">
        <v>38.977727026083933</v>
      </c>
      <c r="AB173" s="2">
        <v>37.903564600997832</v>
      </c>
      <c r="AC173" s="2">
        <v>37.829580250344243</v>
      </c>
      <c r="AD173" s="2">
        <v>36.755771132509878</v>
      </c>
      <c r="AE173" s="2">
        <v>36.682134466021417</v>
      </c>
      <c r="AF173" s="2">
        <v>35.608667527962872</v>
      </c>
      <c r="AG173" s="2">
        <v>35.535367652442673</v>
      </c>
      <c r="AH173" s="2">
        <v>35.462232229108665</v>
      </c>
      <c r="AI173" s="2">
        <v>34.389258701709245</v>
      </c>
      <c r="AJ173" s="2">
        <v>34.316444566699019</v>
      </c>
      <c r="AK173" s="2">
        <v>33.243787371887407</v>
      </c>
      <c r="AL173" s="2">
        <v>33.1712847151285</v>
      </c>
      <c r="AM173" s="2">
        <v>32.098934243050934</v>
      </c>
      <c r="AN173" s="2">
        <v>32.026733649826213</v>
      </c>
      <c r="AO173" s="2">
        <v>30.954680675974139</v>
      </c>
      <c r="AP173" s="2">
        <v>30.88277310720412</v>
      </c>
    </row>
    <row r="174" spans="1:42" x14ac:dyDescent="0.3">
      <c r="A174" s="2">
        <f t="shared" si="21"/>
        <v>18</v>
      </c>
      <c r="B174" s="2" t="s">
        <v>47</v>
      </c>
      <c r="C174" s="2" t="s">
        <v>48</v>
      </c>
      <c r="D174" s="2">
        <v>3</v>
      </c>
      <c r="E174" s="2" t="s">
        <v>336</v>
      </c>
      <c r="F174" s="2" t="s">
        <v>351</v>
      </c>
      <c r="G174" s="2" t="s">
        <v>350</v>
      </c>
      <c r="H174" s="2"/>
      <c r="I174" s="47">
        <v>0</v>
      </c>
      <c r="J174" s="47">
        <v>0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x14ac:dyDescent="0.3">
      <c r="A175" s="2">
        <f t="shared" si="21"/>
        <v>18</v>
      </c>
      <c r="B175" s="2" t="s">
        <v>47</v>
      </c>
      <c r="C175" s="2" t="s">
        <v>48</v>
      </c>
      <c r="D175" s="2">
        <v>4</v>
      </c>
      <c r="E175" s="2" t="s">
        <v>339</v>
      </c>
      <c r="F175" s="2" t="s">
        <v>352</v>
      </c>
      <c r="G175" s="2" t="s">
        <v>350</v>
      </c>
      <c r="H175" s="2" t="s">
        <v>429</v>
      </c>
      <c r="I175" s="2">
        <v>0</v>
      </c>
      <c r="J175" s="2">
        <v>8.7959999999999997E-2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x14ac:dyDescent="0.3">
      <c r="A176" s="2">
        <f t="shared" si="21"/>
        <v>18</v>
      </c>
      <c r="B176" s="2" t="s">
        <v>47</v>
      </c>
      <c r="C176" s="2" t="s">
        <v>48</v>
      </c>
      <c r="D176" s="2">
        <v>5</v>
      </c>
      <c r="E176" s="2" t="s">
        <v>340</v>
      </c>
      <c r="F176" s="2" t="s">
        <v>352</v>
      </c>
      <c r="G176" s="2" t="s">
        <v>338</v>
      </c>
      <c r="H176" s="2" t="s">
        <v>429</v>
      </c>
      <c r="I176" s="2">
        <v>0</v>
      </c>
      <c r="J176" s="2">
        <v>8.7959999999999997E-2</v>
      </c>
      <c r="K176" s="2">
        <v>0.18746000000000002</v>
      </c>
      <c r="L176" s="2">
        <v>0.18746000000000002</v>
      </c>
      <c r="M176" s="2">
        <v>0.36579590000000001</v>
      </c>
      <c r="N176" s="2">
        <v>0.41705000000000003</v>
      </c>
      <c r="O176" s="2">
        <v>0.67508000000000001</v>
      </c>
      <c r="P176" s="91">
        <f>O176</f>
        <v>0.67508000000000001</v>
      </c>
      <c r="Q176" s="2">
        <f t="shared" ref="Q176:AP176" si="26">P176</f>
        <v>0.67508000000000001</v>
      </c>
      <c r="R176" s="2">
        <f t="shared" si="26"/>
        <v>0.67508000000000001</v>
      </c>
      <c r="S176" s="2">
        <f t="shared" si="26"/>
        <v>0.67508000000000001</v>
      </c>
      <c r="T176" s="2">
        <f t="shared" si="26"/>
        <v>0.67508000000000001</v>
      </c>
      <c r="U176" s="2">
        <f t="shared" si="26"/>
        <v>0.67508000000000001</v>
      </c>
      <c r="V176" s="2">
        <f t="shared" si="26"/>
        <v>0.67508000000000001</v>
      </c>
      <c r="W176" s="2">
        <f t="shared" si="26"/>
        <v>0.67508000000000001</v>
      </c>
      <c r="X176" s="2">
        <f t="shared" si="26"/>
        <v>0.67508000000000001</v>
      </c>
      <c r="Y176" s="2">
        <f t="shared" si="26"/>
        <v>0.67508000000000001</v>
      </c>
      <c r="Z176" s="2">
        <f t="shared" si="26"/>
        <v>0.67508000000000001</v>
      </c>
      <c r="AA176" s="2">
        <f t="shared" si="26"/>
        <v>0.67508000000000001</v>
      </c>
      <c r="AB176" s="2">
        <f t="shared" si="26"/>
        <v>0.67508000000000001</v>
      </c>
      <c r="AC176" s="2">
        <f t="shared" si="26"/>
        <v>0.67508000000000001</v>
      </c>
      <c r="AD176" s="2">
        <f t="shared" si="26"/>
        <v>0.67508000000000001</v>
      </c>
      <c r="AE176" s="2">
        <f t="shared" si="26"/>
        <v>0.67508000000000001</v>
      </c>
      <c r="AF176" s="2">
        <f t="shared" si="26"/>
        <v>0.67508000000000001</v>
      </c>
      <c r="AG176" s="2">
        <f t="shared" si="26"/>
        <v>0.67508000000000001</v>
      </c>
      <c r="AH176" s="2">
        <f t="shared" si="26"/>
        <v>0.67508000000000001</v>
      </c>
      <c r="AI176" s="2">
        <f t="shared" si="26"/>
        <v>0.67508000000000001</v>
      </c>
      <c r="AJ176" s="2">
        <f t="shared" si="26"/>
        <v>0.67508000000000001</v>
      </c>
      <c r="AK176" s="2">
        <f t="shared" si="26"/>
        <v>0.67508000000000001</v>
      </c>
      <c r="AL176" s="2">
        <f t="shared" si="26"/>
        <v>0.67508000000000001</v>
      </c>
      <c r="AM176" s="2">
        <f t="shared" si="26"/>
        <v>0.67508000000000001</v>
      </c>
      <c r="AN176" s="2">
        <f t="shared" si="26"/>
        <v>0.67508000000000001</v>
      </c>
      <c r="AO176" s="2">
        <f t="shared" si="26"/>
        <v>0.67508000000000001</v>
      </c>
      <c r="AP176" s="2">
        <f t="shared" si="26"/>
        <v>0.67508000000000001</v>
      </c>
    </row>
    <row r="177" spans="1:42" x14ac:dyDescent="0.3">
      <c r="A177" s="2">
        <f t="shared" si="21"/>
        <v>18</v>
      </c>
      <c r="B177" s="2" t="s">
        <v>47</v>
      </c>
      <c r="C177" s="2" t="s">
        <v>48</v>
      </c>
      <c r="D177" s="2">
        <v>6</v>
      </c>
      <c r="E177" s="2" t="s">
        <v>341</v>
      </c>
      <c r="F177" s="2"/>
      <c r="G177" s="2" t="s">
        <v>334</v>
      </c>
      <c r="H177" s="2"/>
      <c r="I177" s="2">
        <v>0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x14ac:dyDescent="0.3">
      <c r="A178" s="2">
        <f t="shared" si="21"/>
        <v>18</v>
      </c>
      <c r="B178" s="2" t="s">
        <v>47</v>
      </c>
      <c r="C178" s="2" t="s">
        <v>48</v>
      </c>
      <c r="D178" s="2">
        <v>7</v>
      </c>
      <c r="E178" s="2" t="s">
        <v>343</v>
      </c>
      <c r="F178" s="2" t="s">
        <v>342</v>
      </c>
      <c r="G178" s="2" t="s">
        <v>338</v>
      </c>
      <c r="H178" s="2" t="s">
        <v>429</v>
      </c>
      <c r="I178" s="2">
        <v>0</v>
      </c>
      <c r="J178" s="2">
        <v>0.28781424</v>
      </c>
      <c r="K178" s="2">
        <v>0.56292768000000004</v>
      </c>
      <c r="L178" s="2">
        <v>1.0760399999999999</v>
      </c>
      <c r="M178" s="2">
        <v>1.7146079999999999</v>
      </c>
      <c r="N178" s="2">
        <v>2.5824959999999999</v>
      </c>
      <c r="O178" s="2">
        <v>3.9090240000000001</v>
      </c>
      <c r="P178" s="131">
        <f>P176*P180*8760*0.0036*1*0.98</f>
        <v>3.9090240000000001</v>
      </c>
      <c r="Q178" s="2">
        <f>P178</f>
        <v>3.9090240000000001</v>
      </c>
      <c r="R178" s="2">
        <f t="shared" ref="R178:AP178" si="27">Q178</f>
        <v>3.9090240000000001</v>
      </c>
      <c r="S178" s="2">
        <f t="shared" si="27"/>
        <v>3.9090240000000001</v>
      </c>
      <c r="T178" s="2">
        <f t="shared" si="27"/>
        <v>3.9090240000000001</v>
      </c>
      <c r="U178" s="2">
        <f t="shared" si="27"/>
        <v>3.9090240000000001</v>
      </c>
      <c r="V178" s="2">
        <f t="shared" si="27"/>
        <v>3.9090240000000001</v>
      </c>
      <c r="W178" s="2">
        <f t="shared" si="27"/>
        <v>3.9090240000000001</v>
      </c>
      <c r="X178" s="2">
        <f t="shared" si="27"/>
        <v>3.9090240000000001</v>
      </c>
      <c r="Y178" s="2">
        <f t="shared" si="27"/>
        <v>3.9090240000000001</v>
      </c>
      <c r="Z178" s="2">
        <f t="shared" si="27"/>
        <v>3.9090240000000001</v>
      </c>
      <c r="AA178" s="2">
        <f t="shared" si="27"/>
        <v>3.9090240000000001</v>
      </c>
      <c r="AB178" s="2">
        <f t="shared" si="27"/>
        <v>3.9090240000000001</v>
      </c>
      <c r="AC178" s="2">
        <f t="shared" si="27"/>
        <v>3.9090240000000001</v>
      </c>
      <c r="AD178" s="2">
        <f t="shared" si="27"/>
        <v>3.9090240000000001</v>
      </c>
      <c r="AE178" s="2">
        <f t="shared" si="27"/>
        <v>3.9090240000000001</v>
      </c>
      <c r="AF178" s="2">
        <f t="shared" si="27"/>
        <v>3.9090240000000001</v>
      </c>
      <c r="AG178" s="2">
        <f t="shared" si="27"/>
        <v>3.9090240000000001</v>
      </c>
      <c r="AH178" s="2">
        <f t="shared" si="27"/>
        <v>3.9090240000000001</v>
      </c>
      <c r="AI178" s="2">
        <f t="shared" si="27"/>
        <v>3.9090240000000001</v>
      </c>
      <c r="AJ178" s="2">
        <f t="shared" si="27"/>
        <v>3.9090240000000001</v>
      </c>
      <c r="AK178" s="2">
        <f t="shared" si="27"/>
        <v>3.9090240000000001</v>
      </c>
      <c r="AL178" s="2">
        <f t="shared" si="27"/>
        <v>3.9090240000000001</v>
      </c>
      <c r="AM178" s="2">
        <f t="shared" si="27"/>
        <v>3.9090240000000001</v>
      </c>
      <c r="AN178" s="2">
        <f t="shared" si="27"/>
        <v>3.9090240000000001</v>
      </c>
      <c r="AO178" s="2">
        <f t="shared" si="27"/>
        <v>3.9090240000000001</v>
      </c>
      <c r="AP178" s="2">
        <f t="shared" si="27"/>
        <v>3.9090240000000001</v>
      </c>
    </row>
    <row r="179" spans="1:42" x14ac:dyDescent="0.3">
      <c r="A179" s="2">
        <f t="shared" si="21"/>
        <v>18</v>
      </c>
      <c r="B179" s="2" t="s">
        <v>47</v>
      </c>
      <c r="C179" s="2" t="s">
        <v>48</v>
      </c>
      <c r="D179" s="2">
        <v>8</v>
      </c>
      <c r="E179" s="2" t="s">
        <v>344</v>
      </c>
      <c r="F179" s="2" t="s">
        <v>352</v>
      </c>
      <c r="G179" s="2" t="s">
        <v>334</v>
      </c>
      <c r="H179" s="2"/>
      <c r="I179" s="2">
        <v>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x14ac:dyDescent="0.3">
      <c r="A180" s="2">
        <f t="shared" si="21"/>
        <v>18</v>
      </c>
      <c r="B180" s="2" t="s">
        <v>47</v>
      </c>
      <c r="C180" s="2" t="s">
        <v>48</v>
      </c>
      <c r="D180" s="2">
        <v>9</v>
      </c>
      <c r="E180" s="2" t="s">
        <v>345</v>
      </c>
      <c r="F180" s="2" t="s">
        <v>353</v>
      </c>
      <c r="G180" s="2" t="s">
        <v>338</v>
      </c>
      <c r="H180" s="2" t="s">
        <v>431</v>
      </c>
      <c r="I180" s="2">
        <v>0</v>
      </c>
      <c r="J180" s="2">
        <v>0.10587523178862954</v>
      </c>
      <c r="K180" s="2">
        <v>9.7165325254166851E-2</v>
      </c>
      <c r="L180" s="2">
        <v>0.18573216471873205</v>
      </c>
      <c r="M180" s="2">
        <v>0.15166777991441271</v>
      </c>
      <c r="N180" s="2">
        <v>0.20036361068365049</v>
      </c>
      <c r="O180" s="2">
        <v>0.18736152495236147</v>
      </c>
      <c r="P180" s="2">
        <f>O180</f>
        <v>0.18736152495236147</v>
      </c>
      <c r="Q180" s="2">
        <f t="shared" ref="Q180:AP180" si="28">P180</f>
        <v>0.18736152495236147</v>
      </c>
      <c r="R180" s="2">
        <f t="shared" si="28"/>
        <v>0.18736152495236147</v>
      </c>
      <c r="S180" s="2">
        <f t="shared" si="28"/>
        <v>0.18736152495236147</v>
      </c>
      <c r="T180" s="2">
        <f t="shared" si="28"/>
        <v>0.18736152495236147</v>
      </c>
      <c r="U180" s="2">
        <f t="shared" si="28"/>
        <v>0.18736152495236147</v>
      </c>
      <c r="V180" s="2">
        <f t="shared" si="28"/>
        <v>0.18736152495236147</v>
      </c>
      <c r="W180" s="2">
        <f t="shared" si="28"/>
        <v>0.18736152495236147</v>
      </c>
      <c r="X180" s="2">
        <f t="shared" si="28"/>
        <v>0.18736152495236147</v>
      </c>
      <c r="Y180" s="2">
        <f t="shared" si="28"/>
        <v>0.18736152495236147</v>
      </c>
      <c r="Z180" s="2">
        <f t="shared" si="28"/>
        <v>0.18736152495236147</v>
      </c>
      <c r="AA180" s="2">
        <f t="shared" si="28"/>
        <v>0.18736152495236147</v>
      </c>
      <c r="AB180" s="2">
        <f t="shared" si="28"/>
        <v>0.18736152495236147</v>
      </c>
      <c r="AC180" s="2">
        <f t="shared" si="28"/>
        <v>0.18736152495236147</v>
      </c>
      <c r="AD180" s="2">
        <f t="shared" si="28"/>
        <v>0.18736152495236147</v>
      </c>
      <c r="AE180" s="2">
        <f t="shared" si="28"/>
        <v>0.18736152495236147</v>
      </c>
      <c r="AF180" s="2">
        <f t="shared" si="28"/>
        <v>0.18736152495236147</v>
      </c>
      <c r="AG180" s="2">
        <f t="shared" si="28"/>
        <v>0.18736152495236147</v>
      </c>
      <c r="AH180" s="2">
        <f t="shared" si="28"/>
        <v>0.18736152495236147</v>
      </c>
      <c r="AI180" s="2">
        <f t="shared" si="28"/>
        <v>0.18736152495236147</v>
      </c>
      <c r="AJ180" s="2">
        <f t="shared" si="28"/>
        <v>0.18736152495236147</v>
      </c>
      <c r="AK180" s="2">
        <f t="shared" si="28"/>
        <v>0.18736152495236147</v>
      </c>
      <c r="AL180" s="2">
        <f t="shared" si="28"/>
        <v>0.18736152495236147</v>
      </c>
      <c r="AM180" s="2">
        <f t="shared" si="28"/>
        <v>0.18736152495236147</v>
      </c>
      <c r="AN180" s="2">
        <f t="shared" si="28"/>
        <v>0.18736152495236147</v>
      </c>
      <c r="AO180" s="2">
        <f t="shared" si="28"/>
        <v>0.18736152495236147</v>
      </c>
      <c r="AP180" s="2">
        <f t="shared" si="28"/>
        <v>0.18736152495236147</v>
      </c>
    </row>
    <row r="181" spans="1:42" x14ac:dyDescent="0.3">
      <c r="A181" s="2">
        <f t="shared" si="21"/>
        <v>18</v>
      </c>
      <c r="B181" s="2" t="s">
        <v>47</v>
      </c>
      <c r="C181" s="2" t="s">
        <v>48</v>
      </c>
      <c r="D181" s="2">
        <v>10</v>
      </c>
      <c r="E181" s="2" t="s">
        <v>346</v>
      </c>
      <c r="F181" s="2" t="s">
        <v>353</v>
      </c>
      <c r="G181" s="2" t="s">
        <v>350</v>
      </c>
      <c r="H181" s="2"/>
      <c r="I181" s="2">
        <v>0</v>
      </c>
      <c r="J181" s="2">
        <v>1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x14ac:dyDescent="0.3">
      <c r="A182" s="48">
        <f t="shared" ref="A182" si="29">A172+1</f>
        <v>19</v>
      </c>
      <c r="B182" s="48" t="s">
        <v>49</v>
      </c>
      <c r="C182" s="48" t="s">
        <v>48</v>
      </c>
      <c r="D182" s="48">
        <v>1</v>
      </c>
      <c r="E182" s="48" t="s">
        <v>333</v>
      </c>
      <c r="F182" s="48" t="s">
        <v>349</v>
      </c>
      <c r="G182" s="48" t="s">
        <v>338</v>
      </c>
      <c r="H182" s="48" t="s">
        <v>430</v>
      </c>
      <c r="I182" s="48">
        <v>0</v>
      </c>
      <c r="J182" s="48">
        <v>1170.4606992252516</v>
      </c>
      <c r="K182" s="48">
        <v>1170.4606992252516</v>
      </c>
      <c r="L182" s="48">
        <v>1023.5</v>
      </c>
      <c r="M182" s="48">
        <v>983.08337667435876</v>
      </c>
      <c r="N182" s="48">
        <v>942.66675334871718</v>
      </c>
      <c r="O182" s="48">
        <v>902.25013002307594</v>
      </c>
      <c r="P182" s="48">
        <v>861.83350669743481</v>
      </c>
      <c r="Q182" s="48">
        <v>2698.833506697435</v>
      </c>
      <c r="R182" s="48">
        <v>2589.4168833717936</v>
      </c>
      <c r="S182" s="48">
        <v>2480.0002600461521</v>
      </c>
      <c r="T182" s="48">
        <v>2370.5836367205111</v>
      </c>
      <c r="U182" s="48">
        <v>2262.1670133948696</v>
      </c>
      <c r="V182" s="48">
        <v>2152.7503900692282</v>
      </c>
      <c r="W182" s="48">
        <v>2136.8714492400377</v>
      </c>
      <c r="X182" s="48">
        <v>2119.9925084108468</v>
      </c>
      <c r="Y182" s="48">
        <v>2104.1135675816558</v>
      </c>
      <c r="Z182" s="48">
        <v>2088.2346267524649</v>
      </c>
      <c r="AA182" s="48">
        <v>2072.355685923274</v>
      </c>
      <c r="AB182" s="48">
        <v>2056.4767450940831</v>
      </c>
      <c r="AC182" s="48">
        <v>2039.5978042648921</v>
      </c>
      <c r="AD182" s="48">
        <v>2023.7188634357012</v>
      </c>
      <c r="AE182" s="48">
        <v>2007.8399226065103</v>
      </c>
      <c r="AF182" s="48">
        <v>1991.9609817773194</v>
      </c>
      <c r="AG182" s="48">
        <v>1975.0820409481285</v>
      </c>
      <c r="AH182" s="48">
        <v>1959.2031001189375</v>
      </c>
      <c r="AI182" s="48">
        <v>1943.3241592897466</v>
      </c>
      <c r="AJ182" s="48">
        <v>1927.4452184605557</v>
      </c>
      <c r="AK182" s="48">
        <v>1911.5662776313648</v>
      </c>
      <c r="AL182" s="48">
        <v>1894.6873368021738</v>
      </c>
      <c r="AM182" s="48">
        <v>1878.8083959729829</v>
      </c>
      <c r="AN182" s="48">
        <v>1862.929455143792</v>
      </c>
      <c r="AO182" s="48">
        <v>1847.0505143146011</v>
      </c>
      <c r="AP182" s="48">
        <v>1830.1715734854101</v>
      </c>
    </row>
    <row r="183" spans="1:42" x14ac:dyDescent="0.3">
      <c r="A183" s="48">
        <f t="shared" ref="A183" si="30">A182</f>
        <v>19</v>
      </c>
      <c r="B183" s="48" t="s">
        <v>49</v>
      </c>
      <c r="C183" s="48" t="s">
        <v>48</v>
      </c>
      <c r="D183" s="48">
        <v>2</v>
      </c>
      <c r="E183" s="48" t="s">
        <v>335</v>
      </c>
      <c r="F183" s="48" t="s">
        <v>349</v>
      </c>
      <c r="G183" s="48" t="s">
        <v>338</v>
      </c>
      <c r="H183" s="48" t="s">
        <v>430</v>
      </c>
      <c r="I183" s="48">
        <v>0</v>
      </c>
      <c r="J183" s="48">
        <v>16.871359909090909</v>
      </c>
      <c r="K183" s="48">
        <v>16.871359909090909</v>
      </c>
      <c r="L183" s="48">
        <v>15.33</v>
      </c>
      <c r="M183" s="48">
        <v>14.878776636449755</v>
      </c>
      <c r="N183" s="48">
        <v>14.433346131858965</v>
      </c>
      <c r="O183" s="48">
        <v>13.989307942270232</v>
      </c>
      <c r="P183" s="48">
        <v>13.54660475867556</v>
      </c>
      <c r="Q183" s="48">
        <v>49.546604758675556</v>
      </c>
      <c r="R183" s="48">
        <v>48.105182374688923</v>
      </c>
      <c r="S183" s="48">
        <v>46.664989479386122</v>
      </c>
      <c r="T183" s="48">
        <v>44.225977466524213</v>
      </c>
      <c r="U183" s="48">
        <v>42.788100258649266</v>
      </c>
      <c r="V183" s="48">
        <v>41.351314144754376</v>
      </c>
      <c r="W183" s="48">
        <v>41.276216500952053</v>
      </c>
      <c r="X183" s="48">
        <v>40.201312100865728</v>
      </c>
      <c r="Y183" s="48">
        <v>40.126597776565632</v>
      </c>
      <c r="Z183" s="48">
        <v>39.052070428990028</v>
      </c>
      <c r="AA183" s="48">
        <v>38.977727026083933</v>
      </c>
      <c r="AB183" s="48">
        <v>37.903564600997832</v>
      </c>
      <c r="AC183" s="48">
        <v>37.829580250344243</v>
      </c>
      <c r="AD183" s="48">
        <v>36.755771132509878</v>
      </c>
      <c r="AE183" s="48">
        <v>36.682134466021417</v>
      </c>
      <c r="AF183" s="48">
        <v>35.608667527962872</v>
      </c>
      <c r="AG183" s="48">
        <v>35.535367652442673</v>
      </c>
      <c r="AH183" s="48">
        <v>35.462232229108665</v>
      </c>
      <c r="AI183" s="48">
        <v>34.389258701709245</v>
      </c>
      <c r="AJ183" s="48">
        <v>34.316444566699019</v>
      </c>
      <c r="AK183" s="48">
        <v>33.243787371887407</v>
      </c>
      <c r="AL183" s="48">
        <v>33.1712847151285</v>
      </c>
      <c r="AM183" s="48">
        <v>32.098934243050934</v>
      </c>
      <c r="AN183" s="48">
        <v>32.026733649826213</v>
      </c>
      <c r="AO183" s="48">
        <v>30.954680675974139</v>
      </c>
      <c r="AP183" s="48">
        <v>30.88277310720412</v>
      </c>
    </row>
    <row r="184" spans="1:42" x14ac:dyDescent="0.3">
      <c r="A184" s="48">
        <f t="shared" si="21"/>
        <v>19</v>
      </c>
      <c r="B184" s="48" t="s">
        <v>49</v>
      </c>
      <c r="C184" s="48" t="s">
        <v>48</v>
      </c>
      <c r="D184" s="48">
        <v>3</v>
      </c>
      <c r="E184" s="48" t="s">
        <v>336</v>
      </c>
      <c r="F184" s="48" t="s">
        <v>337</v>
      </c>
      <c r="G184" s="48" t="s">
        <v>350</v>
      </c>
      <c r="H184" s="48"/>
      <c r="I184" s="49">
        <v>0</v>
      </c>
      <c r="J184" s="49">
        <v>0</v>
      </c>
      <c r="K184" s="49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</row>
    <row r="185" spans="1:42" x14ac:dyDescent="0.3">
      <c r="A185" s="48">
        <f t="shared" si="21"/>
        <v>19</v>
      </c>
      <c r="B185" s="48" t="s">
        <v>49</v>
      </c>
      <c r="C185" s="48" t="s">
        <v>48</v>
      </c>
      <c r="D185" s="48">
        <v>4</v>
      </c>
      <c r="E185" s="48" t="s">
        <v>339</v>
      </c>
      <c r="F185" s="48" t="s">
        <v>352</v>
      </c>
      <c r="G185" s="48" t="s">
        <v>350</v>
      </c>
      <c r="H185" s="48" t="s">
        <v>429</v>
      </c>
      <c r="I185" s="48">
        <v>0</v>
      </c>
      <c r="J185" s="48">
        <v>0</v>
      </c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</row>
    <row r="186" spans="1:42" x14ac:dyDescent="0.3">
      <c r="A186" s="48">
        <f t="shared" si="21"/>
        <v>19</v>
      </c>
      <c r="B186" s="48" t="s">
        <v>49</v>
      </c>
      <c r="C186" s="48" t="s">
        <v>48</v>
      </c>
      <c r="D186" s="48">
        <v>5</v>
      </c>
      <c r="E186" s="48" t="s">
        <v>340</v>
      </c>
      <c r="F186" s="48" t="s">
        <v>352</v>
      </c>
      <c r="G186" s="48" t="s">
        <v>334</v>
      </c>
      <c r="H186" s="48" t="s">
        <v>429</v>
      </c>
      <c r="I186" s="48">
        <v>0</v>
      </c>
      <c r="J186" s="48">
        <v>0</v>
      </c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</row>
    <row r="187" spans="1:42" x14ac:dyDescent="0.3">
      <c r="A187" s="48">
        <f t="shared" si="21"/>
        <v>19</v>
      </c>
      <c r="B187" s="48" t="s">
        <v>49</v>
      </c>
      <c r="C187" s="48" t="s">
        <v>48</v>
      </c>
      <c r="D187" s="48">
        <v>6</v>
      </c>
      <c r="E187" s="48" t="s">
        <v>341</v>
      </c>
      <c r="F187" s="48"/>
      <c r="G187" s="48" t="s">
        <v>334</v>
      </c>
      <c r="H187" s="48"/>
      <c r="I187" s="48">
        <v>0</v>
      </c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</row>
    <row r="188" spans="1:42" x14ac:dyDescent="0.3">
      <c r="A188" s="48">
        <f t="shared" si="21"/>
        <v>19</v>
      </c>
      <c r="B188" s="48" t="s">
        <v>49</v>
      </c>
      <c r="C188" s="48" t="s">
        <v>48</v>
      </c>
      <c r="D188" s="48">
        <v>7</v>
      </c>
      <c r="E188" s="48" t="s">
        <v>343</v>
      </c>
      <c r="F188" s="48" t="s">
        <v>342</v>
      </c>
      <c r="G188" s="48" t="s">
        <v>334</v>
      </c>
      <c r="H188" s="48" t="s">
        <v>429</v>
      </c>
      <c r="I188" s="48">
        <v>0</v>
      </c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</row>
    <row r="189" spans="1:42" x14ac:dyDescent="0.3">
      <c r="A189" s="48">
        <f t="shared" si="21"/>
        <v>19</v>
      </c>
      <c r="B189" s="48" t="s">
        <v>49</v>
      </c>
      <c r="C189" s="48" t="s">
        <v>48</v>
      </c>
      <c r="D189" s="48">
        <v>8</v>
      </c>
      <c r="E189" s="48" t="s">
        <v>344</v>
      </c>
      <c r="F189" s="48" t="s">
        <v>352</v>
      </c>
      <c r="G189" s="48" t="s">
        <v>334</v>
      </c>
      <c r="H189" s="48"/>
      <c r="I189" s="48">
        <v>0</v>
      </c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</row>
    <row r="190" spans="1:42" x14ac:dyDescent="0.3">
      <c r="A190" s="48">
        <f t="shared" si="21"/>
        <v>19</v>
      </c>
      <c r="B190" s="48" t="s">
        <v>49</v>
      </c>
      <c r="C190" s="48" t="s">
        <v>48</v>
      </c>
      <c r="D190" s="48">
        <v>9</v>
      </c>
      <c r="E190" s="48" t="s">
        <v>345</v>
      </c>
      <c r="F190" s="48" t="s">
        <v>353</v>
      </c>
      <c r="G190" s="48" t="s">
        <v>350</v>
      </c>
      <c r="H190" s="48" t="s">
        <v>429</v>
      </c>
      <c r="I190" s="48">
        <v>0</v>
      </c>
      <c r="J190" s="48">
        <v>0.215</v>
      </c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</row>
    <row r="191" spans="1:42" x14ac:dyDescent="0.3">
      <c r="A191" s="48">
        <f t="shared" si="21"/>
        <v>19</v>
      </c>
      <c r="B191" s="48" t="s">
        <v>49</v>
      </c>
      <c r="C191" s="48" t="s">
        <v>48</v>
      </c>
      <c r="D191" s="48">
        <v>10</v>
      </c>
      <c r="E191" s="48" t="s">
        <v>346</v>
      </c>
      <c r="F191" s="48" t="s">
        <v>353</v>
      </c>
      <c r="G191" s="48" t="s">
        <v>350</v>
      </c>
      <c r="H191" s="48"/>
      <c r="I191" s="48">
        <v>0</v>
      </c>
      <c r="J191" s="48">
        <v>1</v>
      </c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</row>
    <row r="192" spans="1:42" x14ac:dyDescent="0.3">
      <c r="A192" s="48">
        <f t="shared" ref="A192" si="31">A182+1</f>
        <v>20</v>
      </c>
      <c r="B192" s="129" t="s">
        <v>51</v>
      </c>
      <c r="C192" s="48" t="s">
        <v>52</v>
      </c>
      <c r="D192" s="48">
        <v>1</v>
      </c>
      <c r="E192" s="48" t="s">
        <v>333</v>
      </c>
      <c r="F192" s="48" t="s">
        <v>349</v>
      </c>
      <c r="G192" s="48" t="s">
        <v>338</v>
      </c>
      <c r="H192" s="48" t="s">
        <v>430</v>
      </c>
      <c r="I192" s="48">
        <v>0</v>
      </c>
      <c r="J192" s="48">
        <v>1170.4606992252516</v>
      </c>
      <c r="K192" s="48">
        <v>1170.4606992252516</v>
      </c>
      <c r="L192" s="48">
        <v>1023.5</v>
      </c>
      <c r="M192" s="48">
        <v>983.08337667435876</v>
      </c>
      <c r="N192" s="48">
        <v>942.66675334871718</v>
      </c>
      <c r="O192" s="48">
        <v>902.25013002307594</v>
      </c>
      <c r="P192" s="48">
        <v>861.83350669743481</v>
      </c>
      <c r="Q192" s="48">
        <v>2698.833506697435</v>
      </c>
      <c r="R192" s="48">
        <v>2589.4168833717936</v>
      </c>
      <c r="S192" s="48">
        <v>2480.0002600461521</v>
      </c>
      <c r="T192" s="48">
        <v>2370.5836367205111</v>
      </c>
      <c r="U192" s="48">
        <v>2262.1670133948696</v>
      </c>
      <c r="V192" s="48">
        <v>2152.7503900692282</v>
      </c>
      <c r="W192" s="48">
        <v>2136.8714492400377</v>
      </c>
      <c r="X192" s="48">
        <v>2119.9925084108468</v>
      </c>
      <c r="Y192" s="48">
        <v>2104.1135675816558</v>
      </c>
      <c r="Z192" s="48">
        <v>2088.2346267524649</v>
      </c>
      <c r="AA192" s="48">
        <v>2072.355685923274</v>
      </c>
      <c r="AB192" s="48">
        <v>2056.4767450940831</v>
      </c>
      <c r="AC192" s="48">
        <v>2039.5978042648921</v>
      </c>
      <c r="AD192" s="48">
        <v>2023.7188634357012</v>
      </c>
      <c r="AE192" s="48">
        <v>2007.8399226065103</v>
      </c>
      <c r="AF192" s="48">
        <v>1991.9609817773194</v>
      </c>
      <c r="AG192" s="48">
        <v>1975.0820409481285</v>
      </c>
      <c r="AH192" s="48">
        <v>1959.2031001189375</v>
      </c>
      <c r="AI192" s="48">
        <v>1943.3241592897466</v>
      </c>
      <c r="AJ192" s="48">
        <v>1927.4452184605557</v>
      </c>
      <c r="AK192" s="48">
        <v>1911.5662776313648</v>
      </c>
      <c r="AL192" s="48">
        <v>1894.6873368021738</v>
      </c>
      <c r="AM192" s="48">
        <v>1878.8083959729829</v>
      </c>
      <c r="AN192" s="48">
        <v>1862.929455143792</v>
      </c>
      <c r="AO192" s="48">
        <v>1847.0505143146011</v>
      </c>
      <c r="AP192" s="48">
        <v>1830.1715734854101</v>
      </c>
    </row>
    <row r="193" spans="1:42" x14ac:dyDescent="0.3">
      <c r="A193" s="48">
        <f t="shared" ref="A193" si="32">A192</f>
        <v>20</v>
      </c>
      <c r="B193" s="129" t="s">
        <v>51</v>
      </c>
      <c r="C193" s="48" t="s">
        <v>52</v>
      </c>
      <c r="D193" s="48">
        <v>2</v>
      </c>
      <c r="E193" s="48" t="s">
        <v>335</v>
      </c>
      <c r="F193" s="48" t="s">
        <v>349</v>
      </c>
      <c r="G193" s="48" t="s">
        <v>338</v>
      </c>
      <c r="H193" s="48" t="s">
        <v>430</v>
      </c>
      <c r="I193" s="48">
        <v>0</v>
      </c>
      <c r="J193" s="48">
        <v>16.871359909090909</v>
      </c>
      <c r="K193" s="48">
        <v>16.871359909090909</v>
      </c>
      <c r="L193" s="48">
        <v>15.33</v>
      </c>
      <c r="M193" s="48">
        <v>14.878776636449755</v>
      </c>
      <c r="N193" s="48">
        <v>14.433346131858965</v>
      </c>
      <c r="O193" s="48">
        <v>13.989307942270232</v>
      </c>
      <c r="P193" s="48">
        <v>13.54660475867556</v>
      </c>
      <c r="Q193" s="48">
        <v>49.546604758675556</v>
      </c>
      <c r="R193" s="48">
        <v>48.105182374688923</v>
      </c>
      <c r="S193" s="48">
        <v>46.664989479386122</v>
      </c>
      <c r="T193" s="48">
        <v>44.225977466524213</v>
      </c>
      <c r="U193" s="48">
        <v>42.788100258649266</v>
      </c>
      <c r="V193" s="48">
        <v>41.351314144754376</v>
      </c>
      <c r="W193" s="48">
        <v>41.276216500952053</v>
      </c>
      <c r="X193" s="48">
        <v>40.201312100865728</v>
      </c>
      <c r="Y193" s="48">
        <v>40.126597776565632</v>
      </c>
      <c r="Z193" s="48">
        <v>39.052070428990028</v>
      </c>
      <c r="AA193" s="48">
        <v>38.977727026083933</v>
      </c>
      <c r="AB193" s="48">
        <v>37.903564600997832</v>
      </c>
      <c r="AC193" s="48">
        <v>37.829580250344243</v>
      </c>
      <c r="AD193" s="48">
        <v>36.755771132509878</v>
      </c>
      <c r="AE193" s="48">
        <v>36.682134466021417</v>
      </c>
      <c r="AF193" s="48">
        <v>35.608667527962872</v>
      </c>
      <c r="AG193" s="48">
        <v>35.535367652442673</v>
      </c>
      <c r="AH193" s="48">
        <v>35.462232229108665</v>
      </c>
      <c r="AI193" s="48">
        <v>34.389258701709245</v>
      </c>
      <c r="AJ193" s="48">
        <v>34.316444566699019</v>
      </c>
      <c r="AK193" s="48">
        <v>33.243787371887407</v>
      </c>
      <c r="AL193" s="48">
        <v>33.1712847151285</v>
      </c>
      <c r="AM193" s="48">
        <v>32.098934243050934</v>
      </c>
      <c r="AN193" s="48">
        <v>32.026733649826213</v>
      </c>
      <c r="AO193" s="48">
        <v>30.954680675974139</v>
      </c>
      <c r="AP193" s="48">
        <v>30.88277310720412</v>
      </c>
    </row>
    <row r="194" spans="1:42" x14ac:dyDescent="0.3">
      <c r="A194" s="48">
        <f t="shared" si="21"/>
        <v>20</v>
      </c>
      <c r="B194" s="129" t="s">
        <v>51</v>
      </c>
      <c r="C194" s="48" t="s">
        <v>52</v>
      </c>
      <c r="D194" s="48">
        <v>3</v>
      </c>
      <c r="E194" s="48" t="s">
        <v>336</v>
      </c>
      <c r="F194" s="48" t="s">
        <v>351</v>
      </c>
      <c r="G194" s="48" t="s">
        <v>350</v>
      </c>
      <c r="H194" s="48"/>
      <c r="I194" s="49">
        <v>0</v>
      </c>
      <c r="J194" s="49">
        <v>0</v>
      </c>
      <c r="K194" s="49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</row>
    <row r="195" spans="1:42" x14ac:dyDescent="0.3">
      <c r="A195" s="48">
        <f t="shared" si="21"/>
        <v>20</v>
      </c>
      <c r="B195" s="129" t="s">
        <v>51</v>
      </c>
      <c r="C195" s="48" t="s">
        <v>52</v>
      </c>
      <c r="D195" s="48">
        <v>4</v>
      </c>
      <c r="E195" s="48" t="s">
        <v>339</v>
      </c>
      <c r="F195" s="48" t="s">
        <v>352</v>
      </c>
      <c r="G195" s="48" t="s">
        <v>350</v>
      </c>
      <c r="H195" s="48"/>
      <c r="I195" s="48">
        <v>0</v>
      </c>
      <c r="J195" s="48">
        <v>0</v>
      </c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</row>
    <row r="196" spans="1:42" x14ac:dyDescent="0.3">
      <c r="A196" s="48">
        <f t="shared" si="21"/>
        <v>20</v>
      </c>
      <c r="B196" s="129" t="s">
        <v>51</v>
      </c>
      <c r="C196" s="48" t="s">
        <v>52</v>
      </c>
      <c r="D196" s="48">
        <v>5</v>
      </c>
      <c r="E196" s="127" t="s">
        <v>340</v>
      </c>
      <c r="F196" s="127" t="s">
        <v>352</v>
      </c>
      <c r="G196" s="92" t="s">
        <v>338</v>
      </c>
      <c r="H196" s="48"/>
      <c r="I196" s="48">
        <v>0</v>
      </c>
      <c r="J196" s="127">
        <v>0</v>
      </c>
      <c r="K196" s="127">
        <v>0</v>
      </c>
      <c r="L196" s="127">
        <v>0</v>
      </c>
      <c r="M196" s="127">
        <v>0</v>
      </c>
      <c r="N196" s="127">
        <v>0</v>
      </c>
      <c r="O196" s="127">
        <v>0</v>
      </c>
      <c r="P196" s="127">
        <v>0</v>
      </c>
      <c r="Q196" s="127">
        <v>0</v>
      </c>
      <c r="R196" s="127">
        <v>0</v>
      </c>
      <c r="S196" s="127">
        <v>0</v>
      </c>
      <c r="T196" s="127">
        <v>0</v>
      </c>
      <c r="U196" s="127">
        <v>0</v>
      </c>
      <c r="V196" s="127">
        <v>0</v>
      </c>
      <c r="W196" s="127">
        <v>0</v>
      </c>
      <c r="X196" s="127">
        <v>0</v>
      </c>
      <c r="Y196" s="127">
        <v>0</v>
      </c>
      <c r="Z196" s="127">
        <v>0</v>
      </c>
      <c r="AA196" s="127">
        <v>0</v>
      </c>
      <c r="AB196" s="127">
        <v>0</v>
      </c>
      <c r="AC196" s="127">
        <v>0</v>
      </c>
      <c r="AD196" s="127">
        <v>0</v>
      </c>
      <c r="AE196" s="127">
        <v>0</v>
      </c>
      <c r="AF196" s="127">
        <v>0</v>
      </c>
      <c r="AG196" s="127">
        <v>0</v>
      </c>
      <c r="AH196" s="127">
        <v>0</v>
      </c>
      <c r="AI196" s="127">
        <v>0</v>
      </c>
      <c r="AJ196" s="127">
        <v>0</v>
      </c>
      <c r="AK196" s="127">
        <v>0</v>
      </c>
      <c r="AL196" s="127">
        <v>0</v>
      </c>
      <c r="AM196" s="127">
        <v>0</v>
      </c>
      <c r="AN196" s="127">
        <v>0</v>
      </c>
      <c r="AO196" s="127">
        <v>0</v>
      </c>
      <c r="AP196" s="127">
        <v>0</v>
      </c>
    </row>
    <row r="197" spans="1:42" x14ac:dyDescent="0.3">
      <c r="A197" s="48">
        <f t="shared" si="21"/>
        <v>20</v>
      </c>
      <c r="B197" s="129" t="s">
        <v>51</v>
      </c>
      <c r="C197" s="48" t="s">
        <v>52</v>
      </c>
      <c r="D197" s="48">
        <v>6</v>
      </c>
      <c r="E197" s="48" t="s">
        <v>341</v>
      </c>
      <c r="F197" s="48"/>
      <c r="G197" s="48" t="s">
        <v>334</v>
      </c>
      <c r="H197" s="48"/>
      <c r="I197" s="48">
        <v>0</v>
      </c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</row>
    <row r="198" spans="1:42" x14ac:dyDescent="0.3">
      <c r="A198" s="48">
        <f t="shared" si="21"/>
        <v>20</v>
      </c>
      <c r="B198" s="129" t="s">
        <v>51</v>
      </c>
      <c r="C198" s="48" t="s">
        <v>52</v>
      </c>
      <c r="D198" s="48">
        <v>7</v>
      </c>
      <c r="E198" s="127" t="s">
        <v>343</v>
      </c>
      <c r="F198" s="127" t="s">
        <v>342</v>
      </c>
      <c r="G198" s="92" t="s">
        <v>338</v>
      </c>
      <c r="H198" s="48"/>
      <c r="I198" s="48">
        <v>0</v>
      </c>
      <c r="J198" s="127">
        <v>0</v>
      </c>
      <c r="K198" s="127">
        <v>0</v>
      </c>
      <c r="L198" s="127">
        <v>0</v>
      </c>
      <c r="M198" s="127">
        <v>0</v>
      </c>
      <c r="N198" s="127">
        <v>0</v>
      </c>
      <c r="O198" s="127">
        <v>0</v>
      </c>
      <c r="P198" s="127">
        <v>0</v>
      </c>
      <c r="Q198" s="127">
        <v>0</v>
      </c>
      <c r="R198" s="127">
        <v>0</v>
      </c>
      <c r="S198" s="127">
        <v>0</v>
      </c>
      <c r="T198" s="127">
        <v>0</v>
      </c>
      <c r="U198" s="127">
        <v>0</v>
      </c>
      <c r="V198" s="127">
        <v>0</v>
      </c>
      <c r="W198" s="127">
        <v>0</v>
      </c>
      <c r="X198" s="127">
        <v>0</v>
      </c>
      <c r="Y198" s="127">
        <v>0</v>
      </c>
      <c r="Z198" s="127">
        <v>0</v>
      </c>
      <c r="AA198" s="127">
        <v>0</v>
      </c>
      <c r="AB198" s="127">
        <v>0</v>
      </c>
      <c r="AC198" s="127">
        <v>0</v>
      </c>
      <c r="AD198" s="127">
        <v>0</v>
      </c>
      <c r="AE198" s="127">
        <v>0</v>
      </c>
      <c r="AF198" s="127">
        <v>0</v>
      </c>
      <c r="AG198" s="127">
        <v>0</v>
      </c>
      <c r="AH198" s="127">
        <v>0</v>
      </c>
      <c r="AI198" s="127">
        <v>0</v>
      </c>
      <c r="AJ198" s="127">
        <v>0</v>
      </c>
      <c r="AK198" s="127">
        <v>0</v>
      </c>
      <c r="AL198" s="127">
        <v>0</v>
      </c>
      <c r="AM198" s="127">
        <v>0</v>
      </c>
      <c r="AN198" s="127">
        <v>0</v>
      </c>
      <c r="AO198" s="127">
        <v>0</v>
      </c>
      <c r="AP198" s="127">
        <v>0</v>
      </c>
    </row>
    <row r="199" spans="1:42" x14ac:dyDescent="0.3">
      <c r="A199" s="48">
        <f t="shared" si="21"/>
        <v>20</v>
      </c>
      <c r="B199" s="129" t="s">
        <v>51</v>
      </c>
      <c r="C199" s="48" t="s">
        <v>52</v>
      </c>
      <c r="D199" s="48">
        <v>8</v>
      </c>
      <c r="E199" s="48" t="s">
        <v>344</v>
      </c>
      <c r="F199" s="48" t="s">
        <v>352</v>
      </c>
      <c r="G199" s="48" t="s">
        <v>334</v>
      </c>
      <c r="H199" s="48"/>
      <c r="I199" s="48">
        <v>0</v>
      </c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</row>
    <row r="200" spans="1:42" x14ac:dyDescent="0.3">
      <c r="A200" s="48">
        <f t="shared" si="21"/>
        <v>20</v>
      </c>
      <c r="B200" s="129" t="s">
        <v>51</v>
      </c>
      <c r="C200" s="48" t="s">
        <v>52</v>
      </c>
      <c r="D200" s="48">
        <v>9</v>
      </c>
      <c r="E200" s="127" t="s">
        <v>345</v>
      </c>
      <c r="F200" s="127" t="s">
        <v>353</v>
      </c>
      <c r="G200" s="127" t="s">
        <v>350</v>
      </c>
      <c r="H200" s="48" t="s">
        <v>432</v>
      </c>
      <c r="I200" s="48">
        <v>0</v>
      </c>
      <c r="J200" s="127">
        <v>0.215</v>
      </c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</row>
    <row r="201" spans="1:42" x14ac:dyDescent="0.3">
      <c r="A201" s="48">
        <f t="shared" si="21"/>
        <v>20</v>
      </c>
      <c r="B201" s="129" t="s">
        <v>51</v>
      </c>
      <c r="C201" s="48" t="s">
        <v>52</v>
      </c>
      <c r="D201" s="48">
        <v>10</v>
      </c>
      <c r="E201" s="48" t="s">
        <v>346</v>
      </c>
      <c r="F201" s="48" t="s">
        <v>353</v>
      </c>
      <c r="G201" s="48" t="s">
        <v>350</v>
      </c>
      <c r="H201" s="48"/>
      <c r="I201" s="48">
        <v>0</v>
      </c>
      <c r="J201" s="48">
        <v>1</v>
      </c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</row>
    <row r="202" spans="1:42" x14ac:dyDescent="0.3">
      <c r="A202" s="2">
        <f t="shared" ref="A202" si="33">A192+1</f>
        <v>21</v>
      </c>
      <c r="B202" s="2" t="s">
        <v>53</v>
      </c>
      <c r="C202" s="2" t="s">
        <v>54</v>
      </c>
      <c r="D202" s="2">
        <v>1</v>
      </c>
      <c r="E202" s="2" t="s">
        <v>333</v>
      </c>
      <c r="F202" s="2" t="s">
        <v>349</v>
      </c>
      <c r="G202" s="2" t="s">
        <v>338</v>
      </c>
      <c r="H202" s="56" t="s">
        <v>427</v>
      </c>
      <c r="I202" s="2">
        <v>0</v>
      </c>
      <c r="J202" s="2">
        <v>1753.7985872634783</v>
      </c>
      <c r="K202" s="2">
        <v>1753.7985872634783</v>
      </c>
      <c r="L202" s="2">
        <v>1753.7985872634783</v>
      </c>
      <c r="M202" s="2">
        <v>1753.7985872634783</v>
      </c>
      <c r="N202" s="2">
        <v>1906.3028122429109</v>
      </c>
      <c r="O202" s="2">
        <v>1847.9595415389122</v>
      </c>
      <c r="P202" s="2">
        <v>1789.6162708349132</v>
      </c>
      <c r="Q202" s="2">
        <v>1731.2730001309144</v>
      </c>
      <c r="R202" s="2">
        <v>1672.9297294269156</v>
      </c>
      <c r="S202" s="2">
        <v>1614.5864587229166</v>
      </c>
      <c r="T202" s="2">
        <v>1556.2431880189179</v>
      </c>
      <c r="U202" s="2">
        <v>1497.8999173149191</v>
      </c>
      <c r="V202" s="2">
        <v>1439.5566466109203</v>
      </c>
      <c r="W202" s="2">
        <v>1381.2133759069213</v>
      </c>
      <c r="X202" s="2">
        <v>1322.8701052029226</v>
      </c>
      <c r="Y202" s="2">
        <v>1264.5268344989238</v>
      </c>
      <c r="Z202" s="2">
        <v>1206.1835637949248</v>
      </c>
      <c r="AA202" s="2">
        <v>1147.8402930909269</v>
      </c>
      <c r="AB202" s="2">
        <v>1128.6906434963053</v>
      </c>
      <c r="AC202" s="2">
        <v>1109.5409939016838</v>
      </c>
      <c r="AD202" s="2">
        <v>1090.3913443070621</v>
      </c>
      <c r="AE202" s="2">
        <v>1071.2416947124402</v>
      </c>
      <c r="AF202" s="2">
        <v>1052.0920451178188</v>
      </c>
      <c r="AG202" s="2">
        <v>1032.9423955231971</v>
      </c>
      <c r="AH202" s="2">
        <v>1013.7927459285756</v>
      </c>
      <c r="AI202" s="2">
        <v>994.64309633395419</v>
      </c>
      <c r="AJ202" s="2">
        <v>975.49344673933251</v>
      </c>
      <c r="AK202" s="2">
        <v>956.34379714471106</v>
      </c>
      <c r="AL202" s="2">
        <v>937.1941475500895</v>
      </c>
      <c r="AM202" s="2">
        <v>918.04449795546805</v>
      </c>
      <c r="AN202" s="2">
        <v>898.89484836084637</v>
      </c>
      <c r="AO202" s="2">
        <v>879.74519876622492</v>
      </c>
      <c r="AP202" s="2">
        <v>860.59554917160369</v>
      </c>
    </row>
    <row r="203" spans="1:42" x14ac:dyDescent="0.3">
      <c r="A203" s="2">
        <f t="shared" ref="A203" si="34">A202</f>
        <v>21</v>
      </c>
      <c r="B203" s="2" t="s">
        <v>53</v>
      </c>
      <c r="C203" s="2" t="s">
        <v>54</v>
      </c>
      <c r="D203" s="2">
        <v>2</v>
      </c>
      <c r="E203" s="2" t="s">
        <v>335</v>
      </c>
      <c r="F203" s="2" t="s">
        <v>349</v>
      </c>
      <c r="G203" s="2" t="s">
        <v>350</v>
      </c>
      <c r="H203" s="2" t="s">
        <v>427</v>
      </c>
      <c r="I203" s="2">
        <v>0</v>
      </c>
      <c r="J203" s="2">
        <v>18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x14ac:dyDescent="0.3">
      <c r="A204" s="2">
        <f t="shared" si="21"/>
        <v>21</v>
      </c>
      <c r="B204" s="2" t="s">
        <v>53</v>
      </c>
      <c r="C204" s="2" t="s">
        <v>54</v>
      </c>
      <c r="D204" s="2">
        <v>3</v>
      </c>
      <c r="E204" s="2" t="s">
        <v>336</v>
      </c>
      <c r="F204" s="2" t="s">
        <v>351</v>
      </c>
      <c r="G204" s="2" t="s">
        <v>350</v>
      </c>
      <c r="H204" s="2"/>
      <c r="I204" s="47">
        <v>0</v>
      </c>
      <c r="J204" s="47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x14ac:dyDescent="0.3">
      <c r="A205" s="2">
        <f t="shared" si="21"/>
        <v>21</v>
      </c>
      <c r="B205" s="2" t="s">
        <v>53</v>
      </c>
      <c r="C205" s="2" t="s">
        <v>54</v>
      </c>
      <c r="D205" s="2">
        <v>4</v>
      </c>
      <c r="E205" s="2" t="s">
        <v>339</v>
      </c>
      <c r="F205" s="2" t="s">
        <v>352</v>
      </c>
      <c r="G205" s="2" t="s">
        <v>350</v>
      </c>
      <c r="H205" s="2"/>
      <c r="I205" s="2">
        <v>0</v>
      </c>
      <c r="J205" s="2">
        <v>9.3020000000000005E-2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x14ac:dyDescent="0.3">
      <c r="A206" s="2">
        <f t="shared" si="21"/>
        <v>21</v>
      </c>
      <c r="B206" s="2" t="s">
        <v>53</v>
      </c>
      <c r="C206" s="2" t="s">
        <v>54</v>
      </c>
      <c r="D206" s="2">
        <v>5</v>
      </c>
      <c r="E206" s="2" t="s">
        <v>340</v>
      </c>
      <c r="F206" s="2" t="s">
        <v>352</v>
      </c>
      <c r="G206" s="2" t="s">
        <v>338</v>
      </c>
      <c r="H206" s="2"/>
      <c r="I206" s="2">
        <v>0</v>
      </c>
      <c r="J206" s="2">
        <v>9.3020000000000005E-2</v>
      </c>
      <c r="K206" s="2">
        <v>0.13117000000000001</v>
      </c>
      <c r="L206" s="2">
        <v>0.17706</v>
      </c>
      <c r="M206" s="2">
        <v>0.21970000000000001</v>
      </c>
      <c r="N206" s="2">
        <v>0.28212999999999999</v>
      </c>
      <c r="O206" s="2">
        <v>0.32</v>
      </c>
      <c r="P206" s="2">
        <f>O206</f>
        <v>0.32</v>
      </c>
      <c r="Q206" s="2">
        <f t="shared" ref="Q206:AP206" si="35">P206</f>
        <v>0.32</v>
      </c>
      <c r="R206" s="2">
        <f t="shared" si="35"/>
        <v>0.32</v>
      </c>
      <c r="S206" s="2">
        <f t="shared" si="35"/>
        <v>0.32</v>
      </c>
      <c r="T206" s="2">
        <f t="shared" si="35"/>
        <v>0.32</v>
      </c>
      <c r="U206" s="2">
        <f t="shared" si="35"/>
        <v>0.32</v>
      </c>
      <c r="V206" s="2">
        <f t="shared" si="35"/>
        <v>0.32</v>
      </c>
      <c r="W206" s="2">
        <f t="shared" si="35"/>
        <v>0.32</v>
      </c>
      <c r="X206" s="2">
        <f t="shared" si="35"/>
        <v>0.32</v>
      </c>
      <c r="Y206" s="2">
        <f t="shared" si="35"/>
        <v>0.32</v>
      </c>
      <c r="Z206" s="2">
        <f t="shared" si="35"/>
        <v>0.32</v>
      </c>
      <c r="AA206" s="2">
        <f t="shared" si="35"/>
        <v>0.32</v>
      </c>
      <c r="AB206" s="2">
        <f t="shared" si="35"/>
        <v>0.32</v>
      </c>
      <c r="AC206" s="2">
        <f t="shared" si="35"/>
        <v>0.32</v>
      </c>
      <c r="AD206" s="2">
        <f t="shared" si="35"/>
        <v>0.32</v>
      </c>
      <c r="AE206" s="2">
        <f t="shared" si="35"/>
        <v>0.32</v>
      </c>
      <c r="AF206" s="2">
        <f t="shared" si="35"/>
        <v>0.32</v>
      </c>
      <c r="AG206" s="2">
        <f t="shared" si="35"/>
        <v>0.32</v>
      </c>
      <c r="AH206" s="2">
        <f t="shared" si="35"/>
        <v>0.32</v>
      </c>
      <c r="AI206" s="2">
        <f t="shared" si="35"/>
        <v>0.32</v>
      </c>
      <c r="AJ206" s="2">
        <f t="shared" si="35"/>
        <v>0.32</v>
      </c>
      <c r="AK206" s="2">
        <f t="shared" si="35"/>
        <v>0.32</v>
      </c>
      <c r="AL206" s="2">
        <f t="shared" si="35"/>
        <v>0.32</v>
      </c>
      <c r="AM206" s="2">
        <f t="shared" si="35"/>
        <v>0.32</v>
      </c>
      <c r="AN206" s="2">
        <f t="shared" si="35"/>
        <v>0.32</v>
      </c>
      <c r="AO206" s="2">
        <f t="shared" si="35"/>
        <v>0.32</v>
      </c>
      <c r="AP206" s="2">
        <f t="shared" si="35"/>
        <v>0.32</v>
      </c>
    </row>
    <row r="207" spans="1:42" x14ac:dyDescent="0.3">
      <c r="A207" s="2">
        <f t="shared" si="21"/>
        <v>21</v>
      </c>
      <c r="B207" s="2" t="s">
        <v>53</v>
      </c>
      <c r="C207" s="2" t="s">
        <v>54</v>
      </c>
      <c r="D207" s="2">
        <v>6</v>
      </c>
      <c r="E207" s="2" t="s">
        <v>341</v>
      </c>
      <c r="F207" s="2"/>
      <c r="G207" s="2" t="s">
        <v>334</v>
      </c>
      <c r="H207" s="2"/>
      <c r="I207" s="2">
        <v>0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x14ac:dyDescent="0.3">
      <c r="A208" s="2">
        <f t="shared" si="21"/>
        <v>21</v>
      </c>
      <c r="B208" s="2" t="s">
        <v>53</v>
      </c>
      <c r="C208" s="2" t="s">
        <v>54</v>
      </c>
      <c r="D208" s="2">
        <v>7</v>
      </c>
      <c r="E208" s="2" t="s">
        <v>343</v>
      </c>
      <c r="F208" s="2"/>
      <c r="G208" s="53" t="s">
        <v>338</v>
      </c>
      <c r="H208" s="53" t="s">
        <v>429</v>
      </c>
      <c r="I208" s="2">
        <v>0</v>
      </c>
      <c r="J208" s="60">
        <v>0.61808396630399998</v>
      </c>
      <c r="K208" s="60">
        <v>0.871576799184</v>
      </c>
      <c r="L208" s="60">
        <v>1.176499108512</v>
      </c>
      <c r="M208" s="60">
        <v>1.45982635344</v>
      </c>
      <c r="N208" s="60">
        <v>1.8746509289759996</v>
      </c>
      <c r="O208" s="60">
        <v>2.126283264</v>
      </c>
      <c r="P208" s="60">
        <f>P206*$J$210*8760*0.0036*1*0.98</f>
        <v>2.126283264</v>
      </c>
      <c r="Q208" s="60">
        <f t="shared" ref="Q208:AP208" si="36">Q206*$J$210*8760*0.0036*1*0.98</f>
        <v>2.126283264</v>
      </c>
      <c r="R208" s="60">
        <f t="shared" si="36"/>
        <v>2.126283264</v>
      </c>
      <c r="S208" s="60">
        <f t="shared" si="36"/>
        <v>2.126283264</v>
      </c>
      <c r="T208" s="60">
        <f t="shared" si="36"/>
        <v>2.126283264</v>
      </c>
      <c r="U208" s="60">
        <f t="shared" si="36"/>
        <v>2.126283264</v>
      </c>
      <c r="V208" s="60">
        <f t="shared" si="36"/>
        <v>2.126283264</v>
      </c>
      <c r="W208" s="60">
        <f t="shared" si="36"/>
        <v>2.126283264</v>
      </c>
      <c r="X208" s="60">
        <f t="shared" si="36"/>
        <v>2.126283264</v>
      </c>
      <c r="Y208" s="60">
        <f t="shared" si="36"/>
        <v>2.126283264</v>
      </c>
      <c r="Z208" s="60">
        <f t="shared" si="36"/>
        <v>2.126283264</v>
      </c>
      <c r="AA208" s="60">
        <f t="shared" si="36"/>
        <v>2.126283264</v>
      </c>
      <c r="AB208" s="60">
        <f t="shared" si="36"/>
        <v>2.126283264</v>
      </c>
      <c r="AC208" s="60">
        <f t="shared" si="36"/>
        <v>2.126283264</v>
      </c>
      <c r="AD208" s="60">
        <f t="shared" si="36"/>
        <v>2.126283264</v>
      </c>
      <c r="AE208" s="60">
        <f t="shared" si="36"/>
        <v>2.126283264</v>
      </c>
      <c r="AF208" s="60">
        <f t="shared" si="36"/>
        <v>2.126283264</v>
      </c>
      <c r="AG208" s="60">
        <f t="shared" si="36"/>
        <v>2.126283264</v>
      </c>
      <c r="AH208" s="60">
        <f t="shared" si="36"/>
        <v>2.126283264</v>
      </c>
      <c r="AI208" s="60">
        <f t="shared" si="36"/>
        <v>2.126283264</v>
      </c>
      <c r="AJ208" s="60">
        <f t="shared" si="36"/>
        <v>2.126283264</v>
      </c>
      <c r="AK208" s="60">
        <f t="shared" si="36"/>
        <v>2.126283264</v>
      </c>
      <c r="AL208" s="60">
        <f t="shared" si="36"/>
        <v>2.126283264</v>
      </c>
      <c r="AM208" s="60">
        <f t="shared" si="36"/>
        <v>2.126283264</v>
      </c>
      <c r="AN208" s="60">
        <f t="shared" si="36"/>
        <v>2.126283264</v>
      </c>
      <c r="AO208" s="60">
        <f t="shared" si="36"/>
        <v>2.126283264</v>
      </c>
      <c r="AP208" s="60">
        <f t="shared" si="36"/>
        <v>2.126283264</v>
      </c>
    </row>
    <row r="209" spans="1:42" x14ac:dyDescent="0.3">
      <c r="A209" s="2">
        <f t="shared" si="21"/>
        <v>21</v>
      </c>
      <c r="B209" s="2" t="s">
        <v>53</v>
      </c>
      <c r="C209" s="2" t="s">
        <v>54</v>
      </c>
      <c r="D209" s="2">
        <v>8</v>
      </c>
      <c r="E209" s="2" t="s">
        <v>344</v>
      </c>
      <c r="F209" s="2" t="s">
        <v>352</v>
      </c>
      <c r="G209" s="2" t="s">
        <v>334</v>
      </c>
      <c r="H209" s="2"/>
      <c r="I209" s="2">
        <v>0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x14ac:dyDescent="0.3">
      <c r="A210" s="2">
        <f t="shared" si="21"/>
        <v>21</v>
      </c>
      <c r="B210" s="2" t="s">
        <v>53</v>
      </c>
      <c r="C210" s="2" t="s">
        <v>54</v>
      </c>
      <c r="D210" s="2">
        <v>9</v>
      </c>
      <c r="E210" s="2" t="s">
        <v>345</v>
      </c>
      <c r="F210" s="2" t="s">
        <v>353</v>
      </c>
      <c r="G210" s="2" t="s">
        <v>350</v>
      </c>
      <c r="H210" s="2" t="s">
        <v>432</v>
      </c>
      <c r="I210" s="2">
        <v>0</v>
      </c>
      <c r="J210" s="2">
        <v>0.215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5" thickBot="1" x14ac:dyDescent="0.35">
      <c r="A211" s="146">
        <f t="shared" si="21"/>
        <v>21</v>
      </c>
      <c r="B211" s="146" t="s">
        <v>53</v>
      </c>
      <c r="C211" s="146" t="s">
        <v>54</v>
      </c>
      <c r="D211" s="146">
        <v>10</v>
      </c>
      <c r="E211" s="146" t="s">
        <v>346</v>
      </c>
      <c r="F211" s="146" t="s">
        <v>353</v>
      </c>
      <c r="G211" s="146" t="s">
        <v>350</v>
      </c>
      <c r="H211" s="146"/>
      <c r="I211" s="146">
        <v>0</v>
      </c>
      <c r="J211" s="146">
        <v>1</v>
      </c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</row>
    <row r="212" spans="1:42" x14ac:dyDescent="0.3">
      <c r="A212" s="149">
        <f t="shared" ref="A212" si="37">A202+1</f>
        <v>22</v>
      </c>
      <c r="B212" s="150" t="s">
        <v>45</v>
      </c>
      <c r="C212" s="151" t="s">
        <v>46</v>
      </c>
      <c r="D212" s="151">
        <v>1</v>
      </c>
      <c r="E212" s="151" t="s">
        <v>333</v>
      </c>
      <c r="F212" s="151" t="s">
        <v>349</v>
      </c>
      <c r="G212" s="151" t="s">
        <v>338</v>
      </c>
      <c r="H212" s="152" t="s">
        <v>430</v>
      </c>
      <c r="I212" s="151">
        <v>0</v>
      </c>
      <c r="J212" s="151">
        <v>1749.2599943294586</v>
      </c>
      <c r="K212" s="151">
        <v>1749.2599943294586</v>
      </c>
      <c r="L212" s="151">
        <v>1688</v>
      </c>
      <c r="M212" s="151">
        <v>1626.7400056705414</v>
      </c>
      <c r="N212" s="151">
        <v>1565.4800113410831</v>
      </c>
      <c r="O212" s="151">
        <v>1504.2200170116248</v>
      </c>
      <c r="P212" s="151">
        <v>1442.9600226821663</v>
      </c>
      <c r="Q212" s="151">
        <v>3279.9600226821663</v>
      </c>
      <c r="R212" s="151">
        <v>3149.7000283527077</v>
      </c>
      <c r="S212" s="151">
        <v>3019.4400340232492</v>
      </c>
      <c r="T212" s="151">
        <v>2889.1800396937906</v>
      </c>
      <c r="U212" s="151">
        <v>2759.9200453643325</v>
      </c>
      <c r="V212" s="151">
        <v>2629.660051034874</v>
      </c>
      <c r="W212" s="151">
        <v>2608.2934505245248</v>
      </c>
      <c r="X212" s="151">
        <v>2585.9268500141761</v>
      </c>
      <c r="Y212" s="151">
        <v>2564.5602495038274</v>
      </c>
      <c r="Z212" s="151">
        <v>2543.1936489934787</v>
      </c>
      <c r="AA212" s="151">
        <v>2521.8270484831301</v>
      </c>
      <c r="AB212" s="151">
        <v>2500.4604479727814</v>
      </c>
      <c r="AC212" s="151">
        <v>2478.0938474624327</v>
      </c>
      <c r="AD212" s="151">
        <v>2456.727246952084</v>
      </c>
      <c r="AE212" s="151">
        <v>2435.3606464417353</v>
      </c>
      <c r="AF212" s="151">
        <v>2413.9940459313866</v>
      </c>
      <c r="AG212" s="151">
        <v>2391.6274454210379</v>
      </c>
      <c r="AH212" s="151">
        <v>2370.2608449106892</v>
      </c>
      <c r="AI212" s="151">
        <v>2348.8942444003405</v>
      </c>
      <c r="AJ212" s="151">
        <v>2327.5276438899919</v>
      </c>
      <c r="AK212" s="151">
        <v>2306.1610433796427</v>
      </c>
      <c r="AL212" s="151">
        <v>2283.794442869294</v>
      </c>
      <c r="AM212" s="151">
        <v>2262.4278423589453</v>
      </c>
      <c r="AN212" s="151">
        <v>2241.0612418485966</v>
      </c>
      <c r="AO212" s="151">
        <v>2219.6946413382479</v>
      </c>
      <c r="AP212" s="153">
        <v>2197.3280408278993</v>
      </c>
    </row>
    <row r="213" spans="1:42" x14ac:dyDescent="0.3">
      <c r="A213" s="154">
        <f t="shared" ref="A213" si="38">A212</f>
        <v>22</v>
      </c>
      <c r="B213" s="129" t="s">
        <v>45</v>
      </c>
      <c r="C213" s="2" t="s">
        <v>46</v>
      </c>
      <c r="D213" s="2">
        <v>2</v>
      </c>
      <c r="E213" s="2" t="s">
        <v>335</v>
      </c>
      <c r="F213" s="2" t="s">
        <v>349</v>
      </c>
      <c r="G213" s="2" t="s">
        <v>338</v>
      </c>
      <c r="H213" s="2" t="s">
        <v>430</v>
      </c>
      <c r="I213" s="2">
        <v>0</v>
      </c>
      <c r="J213" s="2">
        <v>26.72168094846813</v>
      </c>
      <c r="K213" s="2">
        <v>26.72168094846813</v>
      </c>
      <c r="L213" s="2">
        <v>26.47</v>
      </c>
      <c r="M213" s="2">
        <v>26.218319051531868</v>
      </c>
      <c r="N213" s="2">
        <v>25.966638103063744</v>
      </c>
      <c r="O213" s="2">
        <v>25.714957154595609</v>
      </c>
      <c r="P213" s="2">
        <v>25.463276206127482</v>
      </c>
      <c r="Q213" s="2">
        <v>61.463276206127482</v>
      </c>
      <c r="R213" s="2">
        <v>60.211595257659354</v>
      </c>
      <c r="S213" s="2">
        <v>58.95991430919122</v>
      </c>
      <c r="T213" s="2">
        <v>56.708233360723092</v>
      </c>
      <c r="U213" s="2">
        <v>55.456552412254965</v>
      </c>
      <c r="V213" s="2">
        <v>54.20487146378683</v>
      </c>
      <c r="W213" s="2">
        <v>54.023334927808435</v>
      </c>
      <c r="X213" s="2">
        <v>52.841798391830032</v>
      </c>
      <c r="Y213" s="2">
        <v>52.66026185585163</v>
      </c>
      <c r="Z213" s="2">
        <v>51.478725319873227</v>
      </c>
      <c r="AA213" s="2">
        <v>51.297188783894825</v>
      </c>
      <c r="AB213" s="2">
        <v>50.115652247916429</v>
      </c>
      <c r="AC213" s="2">
        <v>49.93411571193802</v>
      </c>
      <c r="AD213" s="2">
        <v>48.752579175959625</v>
      </c>
      <c r="AE213" s="2">
        <v>48.571042639981215</v>
      </c>
      <c r="AF213" s="2">
        <v>47.38950610400282</v>
      </c>
      <c r="AG213" s="2">
        <v>47.207969568024417</v>
      </c>
      <c r="AH213" s="2">
        <v>47.026433032046015</v>
      </c>
      <c r="AI213" s="2">
        <v>45.844896496067619</v>
      </c>
      <c r="AJ213" s="2">
        <v>45.66335996008921</v>
      </c>
      <c r="AK213" s="2">
        <v>44.481823424110807</v>
      </c>
      <c r="AL213" s="2">
        <v>44.300286888132405</v>
      </c>
      <c r="AM213" s="2">
        <v>43.118750352154009</v>
      </c>
      <c r="AN213" s="2">
        <v>42.937213816175607</v>
      </c>
      <c r="AO213" s="2">
        <v>41.755677280197204</v>
      </c>
      <c r="AP213" s="155">
        <v>41.574140744218809</v>
      </c>
    </row>
    <row r="214" spans="1:42" x14ac:dyDescent="0.3">
      <c r="A214" s="154">
        <f t="shared" si="21"/>
        <v>22</v>
      </c>
      <c r="B214" s="129" t="s">
        <v>45</v>
      </c>
      <c r="C214" s="2" t="s">
        <v>46</v>
      </c>
      <c r="D214" s="2">
        <v>3</v>
      </c>
      <c r="E214" s="2" t="s">
        <v>336</v>
      </c>
      <c r="F214" s="2" t="s">
        <v>337</v>
      </c>
      <c r="G214" s="2" t="s">
        <v>350</v>
      </c>
      <c r="H214" s="2"/>
      <c r="I214" s="47">
        <v>0</v>
      </c>
      <c r="J214" s="47">
        <v>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155"/>
    </row>
    <row r="215" spans="1:42" x14ac:dyDescent="0.3">
      <c r="A215" s="154">
        <f t="shared" si="21"/>
        <v>22</v>
      </c>
      <c r="B215" s="129" t="s">
        <v>45</v>
      </c>
      <c r="C215" s="2" t="s">
        <v>46</v>
      </c>
      <c r="D215" s="2">
        <v>4</v>
      </c>
      <c r="E215" s="2" t="s">
        <v>339</v>
      </c>
      <c r="F215" s="2" t="s">
        <v>352</v>
      </c>
      <c r="G215" s="2" t="s">
        <v>350</v>
      </c>
      <c r="H215" s="2"/>
      <c r="I215" s="2">
        <v>0</v>
      </c>
      <c r="J215" s="2">
        <v>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155"/>
    </row>
    <row r="216" spans="1:42" x14ac:dyDescent="0.3">
      <c r="A216" s="154">
        <f t="shared" si="21"/>
        <v>22</v>
      </c>
      <c r="B216" s="129" t="s">
        <v>45</v>
      </c>
      <c r="C216" s="2" t="s">
        <v>46</v>
      </c>
      <c r="D216" s="2">
        <v>5</v>
      </c>
      <c r="E216" s="127" t="s">
        <v>340</v>
      </c>
      <c r="F216" s="2" t="s">
        <v>352</v>
      </c>
      <c r="G216" s="92" t="s">
        <v>338</v>
      </c>
      <c r="H216" s="2"/>
      <c r="I216" s="2">
        <v>0</v>
      </c>
      <c r="J216" s="127">
        <v>0</v>
      </c>
      <c r="K216" s="127">
        <v>0</v>
      </c>
      <c r="L216" s="127">
        <v>0</v>
      </c>
      <c r="M216" s="127">
        <v>0</v>
      </c>
      <c r="N216" s="127">
        <v>0</v>
      </c>
      <c r="O216" s="127">
        <v>0</v>
      </c>
      <c r="P216" s="127">
        <v>0</v>
      </c>
      <c r="Q216" s="127">
        <v>0</v>
      </c>
      <c r="R216" s="127">
        <v>0</v>
      </c>
      <c r="S216" s="127">
        <v>0</v>
      </c>
      <c r="T216" s="127">
        <v>0</v>
      </c>
      <c r="U216" s="127">
        <v>0</v>
      </c>
      <c r="V216" s="127">
        <v>0</v>
      </c>
      <c r="W216" s="127">
        <v>0</v>
      </c>
      <c r="X216" s="127">
        <v>0</v>
      </c>
      <c r="Y216" s="127">
        <v>0</v>
      </c>
      <c r="Z216" s="127">
        <v>0</v>
      </c>
      <c r="AA216" s="127">
        <v>0</v>
      </c>
      <c r="AB216" s="127">
        <v>0</v>
      </c>
      <c r="AC216" s="127">
        <v>0</v>
      </c>
      <c r="AD216" s="127">
        <v>0</v>
      </c>
      <c r="AE216" s="127">
        <v>0</v>
      </c>
      <c r="AF216" s="127">
        <v>0</v>
      </c>
      <c r="AG216" s="127">
        <v>0</v>
      </c>
      <c r="AH216" s="127">
        <v>0</v>
      </c>
      <c r="AI216" s="127">
        <v>0</v>
      </c>
      <c r="AJ216" s="127">
        <v>0</v>
      </c>
      <c r="AK216" s="127">
        <v>0</v>
      </c>
      <c r="AL216" s="127">
        <v>0</v>
      </c>
      <c r="AM216" s="127">
        <v>0</v>
      </c>
      <c r="AN216" s="127">
        <v>0</v>
      </c>
      <c r="AO216" s="127">
        <v>0</v>
      </c>
      <c r="AP216" s="160">
        <v>0</v>
      </c>
    </row>
    <row r="217" spans="1:42" x14ac:dyDescent="0.3">
      <c r="A217" s="154">
        <f t="shared" si="21"/>
        <v>22</v>
      </c>
      <c r="B217" s="129" t="s">
        <v>45</v>
      </c>
      <c r="C217" s="2" t="s">
        <v>46</v>
      </c>
      <c r="D217" s="2">
        <v>6</v>
      </c>
      <c r="E217" s="2" t="s">
        <v>341</v>
      </c>
      <c r="F217" s="2"/>
      <c r="G217" s="2" t="s">
        <v>334</v>
      </c>
      <c r="H217" s="2"/>
      <c r="I217" s="2">
        <v>0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155"/>
    </row>
    <row r="218" spans="1:42" x14ac:dyDescent="0.3">
      <c r="A218" s="154">
        <f t="shared" si="21"/>
        <v>22</v>
      </c>
      <c r="B218" s="129" t="s">
        <v>45</v>
      </c>
      <c r="C218" s="2" t="s">
        <v>46</v>
      </c>
      <c r="D218" s="2">
        <v>7</v>
      </c>
      <c r="E218" s="127" t="s">
        <v>343</v>
      </c>
      <c r="F218" s="2" t="s">
        <v>342</v>
      </c>
      <c r="G218" s="92" t="s">
        <v>338</v>
      </c>
      <c r="H218" s="2"/>
      <c r="I218" s="2">
        <v>0</v>
      </c>
      <c r="J218" s="127">
        <v>0</v>
      </c>
      <c r="K218" s="127">
        <v>0</v>
      </c>
      <c r="L218" s="127">
        <v>0</v>
      </c>
      <c r="M218" s="127">
        <v>0</v>
      </c>
      <c r="N218" s="127">
        <v>0</v>
      </c>
      <c r="O218" s="127">
        <v>0</v>
      </c>
      <c r="P218" s="127">
        <v>0</v>
      </c>
      <c r="Q218" s="127">
        <v>0</v>
      </c>
      <c r="R218" s="127">
        <v>0</v>
      </c>
      <c r="S218" s="127">
        <v>0</v>
      </c>
      <c r="T218" s="127">
        <v>0</v>
      </c>
      <c r="U218" s="127">
        <v>0</v>
      </c>
      <c r="V218" s="127">
        <v>0</v>
      </c>
      <c r="W218" s="127">
        <v>0</v>
      </c>
      <c r="X218" s="127">
        <v>0</v>
      </c>
      <c r="Y218" s="127">
        <v>0</v>
      </c>
      <c r="Z218" s="127">
        <v>0</v>
      </c>
      <c r="AA218" s="127">
        <v>0</v>
      </c>
      <c r="AB218" s="127">
        <v>0</v>
      </c>
      <c r="AC218" s="127">
        <v>0</v>
      </c>
      <c r="AD218" s="127">
        <v>0</v>
      </c>
      <c r="AE218" s="127">
        <v>0</v>
      </c>
      <c r="AF218" s="127">
        <v>0</v>
      </c>
      <c r="AG218" s="127">
        <v>0</v>
      </c>
      <c r="AH218" s="127">
        <v>0</v>
      </c>
      <c r="AI218" s="127">
        <v>0</v>
      </c>
      <c r="AJ218" s="127">
        <v>0</v>
      </c>
      <c r="AK218" s="127">
        <v>0</v>
      </c>
      <c r="AL218" s="127">
        <v>0</v>
      </c>
      <c r="AM218" s="127">
        <v>0</v>
      </c>
      <c r="AN218" s="127">
        <v>0</v>
      </c>
      <c r="AO218" s="127">
        <v>0</v>
      </c>
      <c r="AP218" s="160">
        <v>0</v>
      </c>
    </row>
    <row r="219" spans="1:42" x14ac:dyDescent="0.3">
      <c r="A219" s="154">
        <f t="shared" si="21"/>
        <v>22</v>
      </c>
      <c r="B219" s="129" t="s">
        <v>45</v>
      </c>
      <c r="C219" s="2" t="s">
        <v>46</v>
      </c>
      <c r="D219" s="2">
        <v>8</v>
      </c>
      <c r="E219" s="2" t="s">
        <v>344</v>
      </c>
      <c r="F219" s="2" t="s">
        <v>352</v>
      </c>
      <c r="G219" s="2" t="s">
        <v>334</v>
      </c>
      <c r="H219" s="2"/>
      <c r="I219" s="2">
        <v>0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155"/>
    </row>
    <row r="220" spans="1:42" x14ac:dyDescent="0.3">
      <c r="A220" s="154">
        <f t="shared" si="21"/>
        <v>22</v>
      </c>
      <c r="B220" s="129" t="s">
        <v>45</v>
      </c>
      <c r="C220" s="2" t="s">
        <v>46</v>
      </c>
      <c r="D220" s="2">
        <v>9</v>
      </c>
      <c r="E220" s="127" t="s">
        <v>345</v>
      </c>
      <c r="F220" s="2" t="s">
        <v>353</v>
      </c>
      <c r="G220" s="127" t="s">
        <v>350</v>
      </c>
      <c r="H220" s="2" t="s">
        <v>427</v>
      </c>
      <c r="I220" s="2">
        <v>0</v>
      </c>
      <c r="J220" s="127">
        <v>0.35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155"/>
    </row>
    <row r="221" spans="1:42" ht="15" thickBot="1" x14ac:dyDescent="0.35">
      <c r="A221" s="156">
        <f t="shared" si="21"/>
        <v>22</v>
      </c>
      <c r="B221" s="157" t="s">
        <v>45</v>
      </c>
      <c r="C221" s="158" t="s">
        <v>46</v>
      </c>
      <c r="D221" s="158">
        <v>10</v>
      </c>
      <c r="E221" s="158" t="s">
        <v>346</v>
      </c>
      <c r="F221" s="158" t="s">
        <v>353</v>
      </c>
      <c r="G221" s="158" t="s">
        <v>350</v>
      </c>
      <c r="H221" s="158"/>
      <c r="I221" s="158">
        <v>0</v>
      </c>
      <c r="J221" s="158">
        <v>1</v>
      </c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9"/>
    </row>
    <row r="222" spans="1:42" x14ac:dyDescent="0.3">
      <c r="A222" s="147">
        <f t="shared" ref="A222" si="39">A212+1</f>
        <v>23</v>
      </c>
      <c r="B222" s="148" t="s">
        <v>466</v>
      </c>
      <c r="C222" s="148" t="s">
        <v>477</v>
      </c>
      <c r="D222" s="147">
        <v>1</v>
      </c>
      <c r="E222" s="147" t="s">
        <v>333</v>
      </c>
      <c r="F222" s="147" t="s">
        <v>349</v>
      </c>
      <c r="G222" s="147" t="s">
        <v>350</v>
      </c>
      <c r="H222" s="147" t="s">
        <v>427</v>
      </c>
      <c r="I222" s="147">
        <v>0</v>
      </c>
      <c r="J222" s="147">
        <v>1980</v>
      </c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  <c r="AJ222" s="147"/>
      <c r="AK222" s="147"/>
      <c r="AL222" s="147"/>
      <c r="AM222" s="147"/>
      <c r="AN222" s="147"/>
      <c r="AO222" s="147"/>
      <c r="AP222" s="147"/>
    </row>
    <row r="223" spans="1:42" x14ac:dyDescent="0.3">
      <c r="A223" s="48">
        <f t="shared" ref="A223" si="40">A222</f>
        <v>23</v>
      </c>
      <c r="B223" s="63" t="s">
        <v>466</v>
      </c>
      <c r="C223" s="63" t="s">
        <v>477</v>
      </c>
      <c r="D223" s="48">
        <v>2</v>
      </c>
      <c r="E223" s="48" t="s">
        <v>335</v>
      </c>
      <c r="F223" s="48" t="s">
        <v>349</v>
      </c>
      <c r="G223" s="48" t="s">
        <v>350</v>
      </c>
      <c r="H223" s="48" t="s">
        <v>427</v>
      </c>
      <c r="I223" s="48">
        <v>0</v>
      </c>
      <c r="J223" s="48">
        <v>20</v>
      </c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</row>
    <row r="224" spans="1:42" x14ac:dyDescent="0.3">
      <c r="A224" s="48">
        <f t="shared" si="21"/>
        <v>23</v>
      </c>
      <c r="B224" s="63" t="s">
        <v>466</v>
      </c>
      <c r="C224" s="63" t="s">
        <v>477</v>
      </c>
      <c r="D224" s="48">
        <v>3</v>
      </c>
      <c r="E224" s="48" t="s">
        <v>336</v>
      </c>
      <c r="F224" s="48" t="s">
        <v>351</v>
      </c>
      <c r="G224" s="48" t="s">
        <v>350</v>
      </c>
      <c r="H224" s="48"/>
      <c r="I224" s="49">
        <v>0</v>
      </c>
      <c r="J224" s="63">
        <v>0</v>
      </c>
      <c r="K224" s="49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</row>
    <row r="225" spans="1:42" x14ac:dyDescent="0.3">
      <c r="A225" s="48">
        <f t="shared" si="21"/>
        <v>23</v>
      </c>
      <c r="B225" s="63" t="s">
        <v>466</v>
      </c>
      <c r="C225" s="63" t="s">
        <v>477</v>
      </c>
      <c r="D225" s="48">
        <v>4</v>
      </c>
      <c r="E225" s="48" t="s">
        <v>339</v>
      </c>
      <c r="F225" s="48" t="s">
        <v>352</v>
      </c>
      <c r="G225" s="48" t="s">
        <v>350</v>
      </c>
      <c r="H225" s="48"/>
      <c r="I225" s="48">
        <v>0</v>
      </c>
      <c r="J225" s="87">
        <v>1.7526999999999998E-3</v>
      </c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</row>
    <row r="226" spans="1:42" x14ac:dyDescent="0.3">
      <c r="A226" s="48">
        <f t="shared" si="21"/>
        <v>23</v>
      </c>
      <c r="B226" s="63" t="s">
        <v>466</v>
      </c>
      <c r="C226" s="63" t="s">
        <v>477</v>
      </c>
      <c r="D226" s="48">
        <v>5</v>
      </c>
      <c r="E226" s="48" t="s">
        <v>340</v>
      </c>
      <c r="F226" s="48" t="s">
        <v>352</v>
      </c>
      <c r="G226" s="48" t="s">
        <v>334</v>
      </c>
      <c r="H226" s="48"/>
      <c r="I226" s="48">
        <v>0</v>
      </c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</row>
    <row r="227" spans="1:42" x14ac:dyDescent="0.3">
      <c r="A227" s="48">
        <f t="shared" si="21"/>
        <v>23</v>
      </c>
      <c r="B227" s="63" t="s">
        <v>466</v>
      </c>
      <c r="C227" s="63" t="s">
        <v>477</v>
      </c>
      <c r="D227" s="48">
        <v>6</v>
      </c>
      <c r="E227" s="48" t="s">
        <v>341</v>
      </c>
      <c r="F227" s="48" t="s">
        <v>342</v>
      </c>
      <c r="G227" s="61" t="s">
        <v>350</v>
      </c>
      <c r="H227" s="61"/>
      <c r="I227" s="61">
        <v>0</v>
      </c>
      <c r="J227" s="84">
        <v>0.23280848616123928</v>
      </c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</row>
    <row r="228" spans="1:42" x14ac:dyDescent="0.3">
      <c r="A228" s="48">
        <f t="shared" si="21"/>
        <v>23</v>
      </c>
      <c r="B228" s="63" t="s">
        <v>466</v>
      </c>
      <c r="C228" s="63" t="s">
        <v>477</v>
      </c>
      <c r="D228" s="48">
        <v>7</v>
      </c>
      <c r="E228" s="48" t="s">
        <v>343</v>
      </c>
      <c r="F228" s="48" t="s">
        <v>342</v>
      </c>
      <c r="G228" s="61" t="s">
        <v>350</v>
      </c>
      <c r="H228" s="48"/>
      <c r="I228" s="48">
        <v>0</v>
      </c>
      <c r="J228" s="86">
        <f>J227*0.98</f>
        <v>0.22815231643801448</v>
      </c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</row>
    <row r="229" spans="1:42" x14ac:dyDescent="0.3">
      <c r="A229" s="48">
        <f t="shared" si="21"/>
        <v>23</v>
      </c>
      <c r="B229" s="63" t="s">
        <v>466</v>
      </c>
      <c r="C229" s="63" t="s">
        <v>477</v>
      </c>
      <c r="D229" s="48">
        <v>8</v>
      </c>
      <c r="E229" s="48" t="s">
        <v>344</v>
      </c>
      <c r="F229" s="48" t="s">
        <v>352</v>
      </c>
      <c r="G229" s="48" t="s">
        <v>334</v>
      </c>
      <c r="H229" s="48"/>
      <c r="I229" s="48">
        <v>0</v>
      </c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</row>
    <row r="230" spans="1:42" x14ac:dyDescent="0.3">
      <c r="A230" s="48">
        <f t="shared" si="21"/>
        <v>23</v>
      </c>
      <c r="B230" s="63" t="s">
        <v>466</v>
      </c>
      <c r="C230" s="63" t="s">
        <v>477</v>
      </c>
      <c r="D230" s="48">
        <v>9</v>
      </c>
      <c r="E230" s="48" t="s">
        <v>345</v>
      </c>
      <c r="F230" s="48" t="s">
        <v>353</v>
      </c>
      <c r="G230" s="48" t="s">
        <v>350</v>
      </c>
      <c r="H230" s="48" t="s">
        <v>432</v>
      </c>
      <c r="I230" s="48">
        <v>0</v>
      </c>
      <c r="J230" s="85">
        <f>J227/(J225*8760)</f>
        <v>1.5163069096605765E-2</v>
      </c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</row>
    <row r="231" spans="1:42" x14ac:dyDescent="0.3">
      <c r="A231" s="48">
        <f t="shared" ref="A231:A261" si="41">A230</f>
        <v>23</v>
      </c>
      <c r="B231" s="63" t="s">
        <v>466</v>
      </c>
      <c r="C231" s="63" t="s">
        <v>477</v>
      </c>
      <c r="D231" s="48">
        <v>10</v>
      </c>
      <c r="E231" s="48" t="s">
        <v>346</v>
      </c>
      <c r="F231" s="48" t="s">
        <v>353</v>
      </c>
      <c r="G231" s="48" t="s">
        <v>350</v>
      </c>
      <c r="H231" s="48"/>
      <c r="I231" s="48">
        <v>0</v>
      </c>
      <c r="J231" s="63">
        <v>1</v>
      </c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</row>
    <row r="232" spans="1:42" x14ac:dyDescent="0.3">
      <c r="A232" s="2">
        <f t="shared" ref="A232" si="42">A222+1</f>
        <v>24</v>
      </c>
      <c r="B232" s="2" t="s">
        <v>55</v>
      </c>
      <c r="C232" s="2" t="s">
        <v>56</v>
      </c>
      <c r="D232" s="2">
        <v>1</v>
      </c>
      <c r="E232" s="2" t="s">
        <v>333</v>
      </c>
      <c r="F232" s="2"/>
      <c r="G232" s="2" t="s">
        <v>334</v>
      </c>
      <c r="H232" s="2"/>
      <c r="I232" s="2">
        <v>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x14ac:dyDescent="0.3">
      <c r="A233" s="2">
        <f t="shared" ref="A233" si="43">A232</f>
        <v>24</v>
      </c>
      <c r="B233" s="2" t="s">
        <v>55</v>
      </c>
      <c r="C233" s="2" t="s">
        <v>56</v>
      </c>
      <c r="D233" s="2">
        <v>2</v>
      </c>
      <c r="E233" s="2" t="s">
        <v>335</v>
      </c>
      <c r="F233" s="2"/>
      <c r="G233" s="2" t="s">
        <v>334</v>
      </c>
      <c r="H233" s="2"/>
      <c r="I233" s="2">
        <v>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x14ac:dyDescent="0.3">
      <c r="A234" s="2">
        <f t="shared" si="41"/>
        <v>24</v>
      </c>
      <c r="B234" s="2" t="s">
        <v>55</v>
      </c>
      <c r="C234" s="2" t="s">
        <v>56</v>
      </c>
      <c r="D234" s="2">
        <v>3</v>
      </c>
      <c r="E234" s="2" t="s">
        <v>336</v>
      </c>
      <c r="F234" s="2" t="s">
        <v>337</v>
      </c>
      <c r="G234" s="2" t="s">
        <v>348</v>
      </c>
      <c r="H234" s="2"/>
      <c r="I234" s="47">
        <v>1.9</v>
      </c>
      <c r="J234" s="47">
        <v>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x14ac:dyDescent="0.3">
      <c r="A235" s="2">
        <f t="shared" si="41"/>
        <v>24</v>
      </c>
      <c r="B235" s="2" t="s">
        <v>55</v>
      </c>
      <c r="C235" s="2" t="s">
        <v>56</v>
      </c>
      <c r="D235" s="2">
        <v>4</v>
      </c>
      <c r="E235" s="2" t="s">
        <v>339</v>
      </c>
      <c r="F235" s="2"/>
      <c r="G235" s="2" t="s">
        <v>334</v>
      </c>
      <c r="H235" s="2"/>
      <c r="I235" s="2">
        <v>0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x14ac:dyDescent="0.3">
      <c r="A236" s="2">
        <f t="shared" si="41"/>
        <v>24</v>
      </c>
      <c r="B236" s="2" t="s">
        <v>55</v>
      </c>
      <c r="C236" s="2" t="s">
        <v>56</v>
      </c>
      <c r="D236" s="2">
        <v>5</v>
      </c>
      <c r="E236" s="2" t="s">
        <v>340</v>
      </c>
      <c r="F236" s="2"/>
      <c r="G236" s="2" t="s">
        <v>334</v>
      </c>
      <c r="H236" s="2"/>
      <c r="I236" s="2">
        <v>0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x14ac:dyDescent="0.3">
      <c r="A237" s="2">
        <f t="shared" si="41"/>
        <v>24</v>
      </c>
      <c r="B237" s="2" t="s">
        <v>55</v>
      </c>
      <c r="C237" s="2" t="s">
        <v>56</v>
      </c>
      <c r="D237" s="2">
        <v>6</v>
      </c>
      <c r="E237" s="2" t="s">
        <v>341</v>
      </c>
      <c r="F237" s="2"/>
      <c r="G237" s="2" t="s">
        <v>334</v>
      </c>
      <c r="H237" s="2"/>
      <c r="I237" s="2">
        <v>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x14ac:dyDescent="0.3">
      <c r="A238" s="2">
        <f t="shared" si="41"/>
        <v>24</v>
      </c>
      <c r="B238" s="2" t="s">
        <v>55</v>
      </c>
      <c r="C238" s="2" t="s">
        <v>56</v>
      </c>
      <c r="D238" s="2">
        <v>7</v>
      </c>
      <c r="E238" s="2" t="s">
        <v>343</v>
      </c>
      <c r="F238" s="2"/>
      <c r="G238" s="2" t="s">
        <v>334</v>
      </c>
      <c r="H238" s="2"/>
      <c r="I238" s="2">
        <v>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x14ac:dyDescent="0.3">
      <c r="A239" s="2">
        <f t="shared" si="41"/>
        <v>24</v>
      </c>
      <c r="B239" s="2" t="s">
        <v>55</v>
      </c>
      <c r="C239" s="2" t="s">
        <v>56</v>
      </c>
      <c r="D239" s="2">
        <v>8</v>
      </c>
      <c r="E239" s="2" t="s">
        <v>344</v>
      </c>
      <c r="F239" s="2"/>
      <c r="G239" s="2" t="s">
        <v>334</v>
      </c>
      <c r="H239" s="2"/>
      <c r="I239" s="2">
        <v>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x14ac:dyDescent="0.3">
      <c r="A240" s="2">
        <f t="shared" si="41"/>
        <v>24</v>
      </c>
      <c r="B240" s="2" t="s">
        <v>55</v>
      </c>
      <c r="C240" s="2" t="s">
        <v>56</v>
      </c>
      <c r="D240" s="2">
        <v>9</v>
      </c>
      <c r="E240" s="2" t="s">
        <v>345</v>
      </c>
      <c r="F240" s="2"/>
      <c r="G240" s="2" t="s">
        <v>334</v>
      </c>
      <c r="H240" s="2"/>
      <c r="I240" s="2">
        <v>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x14ac:dyDescent="0.3">
      <c r="A241" s="2">
        <f t="shared" si="41"/>
        <v>24</v>
      </c>
      <c r="B241" s="2" t="s">
        <v>55</v>
      </c>
      <c r="C241" s="2" t="s">
        <v>56</v>
      </c>
      <c r="D241" s="2">
        <v>10</v>
      </c>
      <c r="E241" s="2" t="s">
        <v>346</v>
      </c>
      <c r="F241" s="2"/>
      <c r="G241" s="2" t="s">
        <v>334</v>
      </c>
      <c r="H241" s="2"/>
      <c r="I241" s="2">
        <v>0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x14ac:dyDescent="0.3">
      <c r="A242" s="48">
        <f t="shared" ref="A242" si="44">A232+1</f>
        <v>25</v>
      </c>
      <c r="B242" s="48" t="s">
        <v>58</v>
      </c>
      <c r="C242" s="48" t="s">
        <v>59</v>
      </c>
      <c r="D242" s="48">
        <v>1</v>
      </c>
      <c r="E242" s="48" t="s">
        <v>333</v>
      </c>
      <c r="F242" s="48"/>
      <c r="G242" s="48" t="s">
        <v>334</v>
      </c>
      <c r="H242" s="48"/>
      <c r="I242" s="48">
        <v>0</v>
      </c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</row>
    <row r="243" spans="1:42" x14ac:dyDescent="0.3">
      <c r="A243" s="48">
        <f t="shared" ref="A243" si="45">A242</f>
        <v>25</v>
      </c>
      <c r="B243" s="48" t="s">
        <v>58</v>
      </c>
      <c r="C243" s="48" t="s">
        <v>59</v>
      </c>
      <c r="D243" s="48">
        <v>2</v>
      </c>
      <c r="E243" s="48" t="s">
        <v>335</v>
      </c>
      <c r="F243" s="48"/>
      <c r="G243" s="48" t="s">
        <v>334</v>
      </c>
      <c r="H243" s="48"/>
      <c r="I243" s="48">
        <v>0</v>
      </c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</row>
    <row r="244" spans="1:42" x14ac:dyDescent="0.3">
      <c r="A244" s="48">
        <f t="shared" si="41"/>
        <v>25</v>
      </c>
      <c r="B244" s="48" t="s">
        <v>58</v>
      </c>
      <c r="C244" s="48" t="s">
        <v>59</v>
      </c>
      <c r="D244" s="48">
        <v>3</v>
      </c>
      <c r="E244" s="48" t="s">
        <v>336</v>
      </c>
      <c r="F244" s="48" t="s">
        <v>337</v>
      </c>
      <c r="G244" s="48" t="s">
        <v>350</v>
      </c>
      <c r="H244" s="48" t="s">
        <v>433</v>
      </c>
      <c r="I244" s="49">
        <v>0</v>
      </c>
      <c r="J244" s="49">
        <v>10.833</v>
      </c>
      <c r="K244" s="49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</row>
    <row r="245" spans="1:42" x14ac:dyDescent="0.3">
      <c r="A245" s="48">
        <f t="shared" si="41"/>
        <v>25</v>
      </c>
      <c r="B245" s="48" t="s">
        <v>58</v>
      </c>
      <c r="C245" s="48" t="s">
        <v>59</v>
      </c>
      <c r="D245" s="48">
        <v>4</v>
      </c>
      <c r="E245" s="48" t="s">
        <v>339</v>
      </c>
      <c r="F245" s="48"/>
      <c r="G245" s="48" t="s">
        <v>334</v>
      </c>
      <c r="H245" s="48"/>
      <c r="I245" s="48">
        <v>0</v>
      </c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</row>
    <row r="246" spans="1:42" x14ac:dyDescent="0.3">
      <c r="A246" s="48">
        <f t="shared" si="41"/>
        <v>25</v>
      </c>
      <c r="B246" s="48" t="s">
        <v>58</v>
      </c>
      <c r="C246" s="48" t="s">
        <v>59</v>
      </c>
      <c r="D246" s="48">
        <v>5</v>
      </c>
      <c r="E246" s="48" t="s">
        <v>340</v>
      </c>
      <c r="F246" s="48"/>
      <c r="G246" s="48" t="s">
        <v>334</v>
      </c>
      <c r="H246" s="48"/>
      <c r="I246" s="48">
        <v>0</v>
      </c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</row>
    <row r="247" spans="1:42" x14ac:dyDescent="0.3">
      <c r="A247" s="48">
        <f t="shared" si="41"/>
        <v>25</v>
      </c>
      <c r="B247" s="48" t="s">
        <v>58</v>
      </c>
      <c r="C247" s="48" t="s">
        <v>59</v>
      </c>
      <c r="D247" s="48">
        <v>6</v>
      </c>
      <c r="E247" s="48" t="s">
        <v>341</v>
      </c>
      <c r="F247" s="48"/>
      <c r="G247" s="48" t="s">
        <v>334</v>
      </c>
      <c r="H247" s="48"/>
      <c r="I247" s="48">
        <v>0</v>
      </c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</row>
    <row r="248" spans="1:42" x14ac:dyDescent="0.3">
      <c r="A248" s="48">
        <f t="shared" si="41"/>
        <v>25</v>
      </c>
      <c r="B248" s="48" t="s">
        <v>58</v>
      </c>
      <c r="C248" s="48" t="s">
        <v>59</v>
      </c>
      <c r="D248" s="48">
        <v>7</v>
      </c>
      <c r="E248" s="48" t="s">
        <v>343</v>
      </c>
      <c r="F248" s="48"/>
      <c r="G248" s="48" t="s">
        <v>334</v>
      </c>
      <c r="H248" s="48"/>
      <c r="I248" s="48">
        <v>0</v>
      </c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</row>
    <row r="249" spans="1:42" x14ac:dyDescent="0.3">
      <c r="A249" s="48">
        <f t="shared" si="41"/>
        <v>25</v>
      </c>
      <c r="B249" s="48" t="s">
        <v>58</v>
      </c>
      <c r="C249" s="48" t="s">
        <v>59</v>
      </c>
      <c r="D249" s="48">
        <v>8</v>
      </c>
      <c r="E249" s="48" t="s">
        <v>344</v>
      </c>
      <c r="F249" s="48"/>
      <c r="G249" s="48" t="s">
        <v>334</v>
      </c>
      <c r="H249" s="48"/>
      <c r="I249" s="48">
        <v>0</v>
      </c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</row>
    <row r="250" spans="1:42" x14ac:dyDescent="0.3">
      <c r="A250" s="48">
        <f t="shared" si="41"/>
        <v>25</v>
      </c>
      <c r="B250" s="48" t="s">
        <v>58</v>
      </c>
      <c r="C250" s="48" t="s">
        <v>59</v>
      </c>
      <c r="D250" s="48">
        <v>9</v>
      </c>
      <c r="E250" s="48" t="s">
        <v>345</v>
      </c>
      <c r="F250" s="48"/>
      <c r="G250" s="48" t="s">
        <v>334</v>
      </c>
      <c r="H250" s="48"/>
      <c r="I250" s="48">
        <v>0</v>
      </c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</row>
    <row r="251" spans="1:42" x14ac:dyDescent="0.3">
      <c r="A251" s="48">
        <f t="shared" si="41"/>
        <v>25</v>
      </c>
      <c r="B251" s="48" t="s">
        <v>58</v>
      </c>
      <c r="C251" s="48" t="s">
        <v>59</v>
      </c>
      <c r="D251" s="48">
        <v>10</v>
      </c>
      <c r="E251" s="48" t="s">
        <v>346</v>
      </c>
      <c r="F251" s="48"/>
      <c r="G251" s="48" t="s">
        <v>334</v>
      </c>
      <c r="H251" s="48"/>
      <c r="I251" s="48">
        <v>0</v>
      </c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</row>
    <row r="252" spans="1:42" x14ac:dyDescent="0.3">
      <c r="A252" s="2">
        <f t="shared" ref="A252" si="46">A242+1</f>
        <v>26</v>
      </c>
      <c r="B252" s="2" t="s">
        <v>60</v>
      </c>
      <c r="C252" s="2" t="s">
        <v>61</v>
      </c>
      <c r="D252" s="2">
        <v>1</v>
      </c>
      <c r="E252" s="2" t="s">
        <v>333</v>
      </c>
      <c r="F252" s="2"/>
      <c r="G252" s="2" t="s">
        <v>334</v>
      </c>
      <c r="H252" s="2"/>
      <c r="I252" s="2">
        <v>0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x14ac:dyDescent="0.3">
      <c r="A253" s="2">
        <f t="shared" ref="A253" si="47">A252</f>
        <v>26</v>
      </c>
      <c r="B253" s="2" t="s">
        <v>60</v>
      </c>
      <c r="C253" s="2" t="s">
        <v>61</v>
      </c>
      <c r="D253" s="2">
        <v>2</v>
      </c>
      <c r="E253" s="2" t="s">
        <v>335</v>
      </c>
      <c r="F253" s="2"/>
      <c r="G253" s="2" t="s">
        <v>334</v>
      </c>
      <c r="H253" s="2"/>
      <c r="I253" s="2">
        <v>0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x14ac:dyDescent="0.3">
      <c r="A254" s="2">
        <f t="shared" si="41"/>
        <v>26</v>
      </c>
      <c r="B254" s="2" t="s">
        <v>60</v>
      </c>
      <c r="C254" s="2" t="s">
        <v>61</v>
      </c>
      <c r="D254" s="2">
        <v>3</v>
      </c>
      <c r="E254" s="2" t="s">
        <v>336</v>
      </c>
      <c r="F254" s="2" t="s">
        <v>337</v>
      </c>
      <c r="G254" s="2" t="s">
        <v>348</v>
      </c>
      <c r="H254" s="2"/>
      <c r="I254" s="47">
        <v>1.9</v>
      </c>
      <c r="J254" s="47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x14ac:dyDescent="0.3">
      <c r="A255" s="2">
        <f t="shared" si="41"/>
        <v>26</v>
      </c>
      <c r="B255" s="2" t="s">
        <v>60</v>
      </c>
      <c r="C255" s="2" t="s">
        <v>61</v>
      </c>
      <c r="D255" s="2">
        <v>4</v>
      </c>
      <c r="E255" s="2" t="s">
        <v>339</v>
      </c>
      <c r="F255" s="2"/>
      <c r="G255" s="2" t="s">
        <v>334</v>
      </c>
      <c r="H255" s="2"/>
      <c r="I255" s="2">
        <v>0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x14ac:dyDescent="0.3">
      <c r="A256" s="2">
        <f t="shared" si="41"/>
        <v>26</v>
      </c>
      <c r="B256" s="2" t="s">
        <v>60</v>
      </c>
      <c r="C256" s="2" t="s">
        <v>61</v>
      </c>
      <c r="D256" s="2">
        <v>5</v>
      </c>
      <c r="E256" s="2" t="s">
        <v>340</v>
      </c>
      <c r="F256" s="2"/>
      <c r="G256" s="2" t="s">
        <v>334</v>
      </c>
      <c r="H256" s="2"/>
      <c r="I256" s="2">
        <v>0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x14ac:dyDescent="0.3">
      <c r="A257" s="2">
        <f t="shared" si="41"/>
        <v>26</v>
      </c>
      <c r="B257" s="2" t="s">
        <v>60</v>
      </c>
      <c r="C257" s="2" t="s">
        <v>61</v>
      </c>
      <c r="D257" s="2">
        <v>6</v>
      </c>
      <c r="E257" s="2" t="s">
        <v>341</v>
      </c>
      <c r="F257" s="2"/>
      <c r="G257" s="2" t="s">
        <v>334</v>
      </c>
      <c r="H257" s="2"/>
      <c r="I257" s="2">
        <v>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x14ac:dyDescent="0.3">
      <c r="A258" s="2">
        <f t="shared" si="41"/>
        <v>26</v>
      </c>
      <c r="B258" s="2" t="s">
        <v>60</v>
      </c>
      <c r="C258" s="2" t="s">
        <v>61</v>
      </c>
      <c r="D258" s="2">
        <v>7</v>
      </c>
      <c r="E258" s="2" t="s">
        <v>343</v>
      </c>
      <c r="F258" s="2"/>
      <c r="G258" s="2" t="s">
        <v>334</v>
      </c>
      <c r="H258" s="2"/>
      <c r="I258" s="2">
        <v>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x14ac:dyDescent="0.3">
      <c r="A259" s="2">
        <f t="shared" si="41"/>
        <v>26</v>
      </c>
      <c r="B259" s="2" t="s">
        <v>60</v>
      </c>
      <c r="C259" s="2" t="s">
        <v>61</v>
      </c>
      <c r="D259" s="2">
        <v>8</v>
      </c>
      <c r="E259" s="2" t="s">
        <v>344</v>
      </c>
      <c r="F259" s="2"/>
      <c r="G259" s="2" t="s">
        <v>334</v>
      </c>
      <c r="H259" s="2"/>
      <c r="I259" s="2">
        <v>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x14ac:dyDescent="0.3">
      <c r="A260" s="2">
        <f t="shared" si="41"/>
        <v>26</v>
      </c>
      <c r="B260" s="2" t="s">
        <v>60</v>
      </c>
      <c r="C260" s="2" t="s">
        <v>61</v>
      </c>
      <c r="D260" s="2">
        <v>9</v>
      </c>
      <c r="E260" s="2" t="s">
        <v>345</v>
      </c>
      <c r="F260" s="2"/>
      <c r="G260" s="2" t="s">
        <v>334</v>
      </c>
      <c r="H260" s="2"/>
      <c r="I260" s="2">
        <v>0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x14ac:dyDescent="0.3">
      <c r="A261" s="2">
        <f t="shared" si="41"/>
        <v>26</v>
      </c>
      <c r="B261" s="2" t="s">
        <v>60</v>
      </c>
      <c r="C261" s="2" t="s">
        <v>61</v>
      </c>
      <c r="D261" s="2">
        <v>10</v>
      </c>
      <c r="E261" s="2" t="s">
        <v>346</v>
      </c>
      <c r="F261" s="2"/>
      <c r="G261" s="2" t="s">
        <v>334</v>
      </c>
      <c r="H261" s="2"/>
      <c r="I261" s="2">
        <v>0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</sheetData>
  <autoFilter ref="A1:AQ261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71"/>
  <sheetViews>
    <sheetView topLeftCell="E1" zoomScale="85" zoomScaleNormal="85" workbookViewId="0">
      <pane ySplit="1" topLeftCell="A89" activePane="bottomLeft" state="frozen"/>
      <selection pane="bottomLeft" activeCell="P118" sqref="P118"/>
    </sheetView>
  </sheetViews>
  <sheetFormatPr defaultColWidth="8.6640625" defaultRowHeight="14.4" x14ac:dyDescent="0.3"/>
  <cols>
    <col min="1" max="1" width="4" customWidth="1"/>
    <col min="2" max="2" width="12.77734375" bestFit="1" customWidth="1"/>
    <col min="3" max="3" width="44.88671875" customWidth="1"/>
    <col min="4" max="4" width="4.109375" customWidth="1"/>
    <col min="5" max="5" width="39.44140625" bestFit="1" customWidth="1"/>
    <col min="6" max="6" width="13.77734375" customWidth="1"/>
    <col min="7" max="7" width="13.5546875" customWidth="1"/>
    <col min="8" max="8" width="49.44140625" customWidth="1"/>
    <col min="9" max="9" width="20.33203125" bestFit="1" customWidth="1"/>
    <col min="10" max="10" width="12.33203125" bestFit="1" customWidth="1"/>
    <col min="11" max="12" width="13.5546875" bestFit="1" customWidth="1"/>
    <col min="13" max="13" width="15.44140625" customWidth="1"/>
    <col min="14" max="42" width="13.5546875" bestFit="1" customWidth="1"/>
  </cols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331</v>
      </c>
      <c r="H1" s="1" t="s">
        <v>435</v>
      </c>
      <c r="I1" s="1" t="s">
        <v>332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 s="48">
        <v>1</v>
      </c>
      <c r="B2" s="48" t="s">
        <v>63</v>
      </c>
      <c r="C2" s="48" t="s">
        <v>64</v>
      </c>
      <c r="D2" s="48">
        <v>1</v>
      </c>
      <c r="E2" s="48" t="s">
        <v>333</v>
      </c>
      <c r="F2" s="48" t="s">
        <v>349</v>
      </c>
      <c r="G2" s="48" t="s">
        <v>350</v>
      </c>
      <c r="H2" s="48"/>
      <c r="I2" s="48">
        <v>0</v>
      </c>
      <c r="J2" s="48">
        <v>0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42" x14ac:dyDescent="0.3">
      <c r="A3" s="48">
        <v>1</v>
      </c>
      <c r="B3" s="48" t="s">
        <v>63</v>
      </c>
      <c r="C3" s="48" t="s">
        <v>64</v>
      </c>
      <c r="D3" s="48">
        <v>2</v>
      </c>
      <c r="E3" s="48" t="s">
        <v>335</v>
      </c>
      <c r="F3" s="48" t="s">
        <v>349</v>
      </c>
      <c r="G3" s="48" t="s">
        <v>350</v>
      </c>
      <c r="H3" s="48"/>
      <c r="I3" s="48">
        <v>0</v>
      </c>
      <c r="J3" s="48">
        <v>0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</row>
    <row r="4" spans="1:42" x14ac:dyDescent="0.3">
      <c r="A4" s="48">
        <v>1</v>
      </c>
      <c r="B4" s="48" t="s">
        <v>63</v>
      </c>
      <c r="C4" s="48" t="s">
        <v>64</v>
      </c>
      <c r="D4" s="48">
        <v>3</v>
      </c>
      <c r="E4" s="48" t="s">
        <v>336</v>
      </c>
      <c r="F4" s="48" t="s">
        <v>351</v>
      </c>
      <c r="G4" s="61" t="s">
        <v>350</v>
      </c>
      <c r="H4" s="61"/>
      <c r="I4" s="61">
        <v>0</v>
      </c>
      <c r="J4" s="61">
        <v>0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</row>
    <row r="5" spans="1:42" x14ac:dyDescent="0.3">
      <c r="A5" s="48">
        <v>1</v>
      </c>
      <c r="B5" s="48" t="s">
        <v>63</v>
      </c>
      <c r="C5" s="48" t="s">
        <v>64</v>
      </c>
      <c r="D5" s="48">
        <v>4</v>
      </c>
      <c r="E5" s="48" t="s">
        <v>339</v>
      </c>
      <c r="F5" s="48" t="s">
        <v>352</v>
      </c>
      <c r="G5" s="48" t="s">
        <v>334</v>
      </c>
      <c r="H5" s="48"/>
      <c r="I5" s="48">
        <v>0</v>
      </c>
      <c r="J5" s="50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</row>
    <row r="6" spans="1:42" x14ac:dyDescent="0.3">
      <c r="A6" s="48">
        <v>1</v>
      </c>
      <c r="B6" s="48" t="s">
        <v>63</v>
      </c>
      <c r="C6" s="48" t="s">
        <v>64</v>
      </c>
      <c r="D6" s="48">
        <v>5</v>
      </c>
      <c r="E6" s="48" t="s">
        <v>340</v>
      </c>
      <c r="F6" s="48" t="s">
        <v>352</v>
      </c>
      <c r="G6" s="48" t="s">
        <v>334</v>
      </c>
      <c r="H6" s="48"/>
      <c r="I6" s="48">
        <v>0</v>
      </c>
      <c r="J6" s="50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</row>
    <row r="7" spans="1:42" x14ac:dyDescent="0.3">
      <c r="A7" s="48">
        <v>1</v>
      </c>
      <c r="B7" s="48" t="s">
        <v>63</v>
      </c>
      <c r="C7" s="48" t="s">
        <v>64</v>
      </c>
      <c r="D7" s="48">
        <v>6</v>
      </c>
      <c r="E7" s="48" t="s">
        <v>341</v>
      </c>
      <c r="F7" s="48"/>
      <c r="G7" s="48" t="s">
        <v>338</v>
      </c>
      <c r="H7" s="48" t="s">
        <v>436</v>
      </c>
      <c r="I7" s="48">
        <v>0</v>
      </c>
      <c r="J7" s="48">
        <v>14.97</v>
      </c>
      <c r="K7" s="48">
        <v>14.23</v>
      </c>
      <c r="L7" s="48">
        <v>5.61</v>
      </c>
      <c r="M7" s="48">
        <v>12.68</v>
      </c>
      <c r="N7" s="48">
        <v>12.68</v>
      </c>
      <c r="O7" s="48">
        <v>12.68</v>
      </c>
      <c r="P7" s="48">
        <v>12.68</v>
      </c>
      <c r="Q7" s="48">
        <v>12.68</v>
      </c>
      <c r="R7" s="48">
        <v>12.68</v>
      </c>
      <c r="S7" s="48">
        <v>12.68</v>
      </c>
      <c r="T7" s="48">
        <v>12.68</v>
      </c>
      <c r="U7" s="48">
        <v>12.68</v>
      </c>
      <c r="V7" s="48">
        <v>12.68</v>
      </c>
      <c r="W7" s="48">
        <v>12.68</v>
      </c>
      <c r="X7" s="48">
        <v>12.68</v>
      </c>
      <c r="Y7" s="48">
        <v>12.68</v>
      </c>
      <c r="Z7" s="48">
        <v>12.68</v>
      </c>
      <c r="AA7" s="48">
        <v>12.68</v>
      </c>
      <c r="AB7" s="48">
        <v>12.68</v>
      </c>
      <c r="AC7" s="48">
        <v>12.68</v>
      </c>
      <c r="AD7" s="48">
        <v>12.68</v>
      </c>
      <c r="AE7" s="48">
        <v>12.68</v>
      </c>
      <c r="AF7" s="48">
        <v>12.68</v>
      </c>
      <c r="AG7" s="48">
        <v>12.68</v>
      </c>
      <c r="AH7" s="48">
        <v>12.68</v>
      </c>
      <c r="AI7" s="48">
        <v>12.68</v>
      </c>
      <c r="AJ7" s="48">
        <v>12.68</v>
      </c>
      <c r="AK7" s="48">
        <v>12.68</v>
      </c>
      <c r="AL7" s="48">
        <v>12.68</v>
      </c>
      <c r="AM7" s="48">
        <v>12.68</v>
      </c>
      <c r="AN7" s="48">
        <v>12.68</v>
      </c>
      <c r="AO7" s="48">
        <v>12.68</v>
      </c>
      <c r="AP7" s="48">
        <v>12.68</v>
      </c>
    </row>
    <row r="8" spans="1:42" x14ac:dyDescent="0.3">
      <c r="A8" s="48">
        <v>1</v>
      </c>
      <c r="B8" s="48" t="s">
        <v>63</v>
      </c>
      <c r="C8" s="48" t="s">
        <v>64</v>
      </c>
      <c r="D8" s="48">
        <v>7</v>
      </c>
      <c r="E8" s="48" t="s">
        <v>343</v>
      </c>
      <c r="F8" s="48"/>
      <c r="G8" s="48" t="s">
        <v>338</v>
      </c>
      <c r="H8" s="48" t="s">
        <v>436</v>
      </c>
      <c r="I8" s="48">
        <v>0</v>
      </c>
      <c r="J8" s="48">
        <v>14.820300000000001</v>
      </c>
      <c r="K8" s="48">
        <v>14.0877</v>
      </c>
      <c r="L8" s="48">
        <v>5.5539000000000005</v>
      </c>
      <c r="M8" s="48">
        <v>12.5532</v>
      </c>
      <c r="N8" s="48">
        <v>12.5532</v>
      </c>
      <c r="O8" s="48">
        <v>12.5532</v>
      </c>
      <c r="P8" s="48">
        <v>12.5532</v>
      </c>
      <c r="Q8" s="48">
        <v>12.5532</v>
      </c>
      <c r="R8" s="48">
        <v>12.5532</v>
      </c>
      <c r="S8" s="48">
        <v>12.5532</v>
      </c>
      <c r="T8" s="48">
        <v>12.5532</v>
      </c>
      <c r="U8" s="48">
        <v>12.5532</v>
      </c>
      <c r="V8" s="48">
        <v>12.5532</v>
      </c>
      <c r="W8" s="48">
        <v>12.5532</v>
      </c>
      <c r="X8" s="48">
        <v>12.5532</v>
      </c>
      <c r="Y8" s="48">
        <v>12.5532</v>
      </c>
      <c r="Z8" s="48">
        <v>12.5532</v>
      </c>
      <c r="AA8" s="48">
        <v>12.5532</v>
      </c>
      <c r="AB8" s="48">
        <v>12.5532</v>
      </c>
      <c r="AC8" s="48">
        <v>12.5532</v>
      </c>
      <c r="AD8" s="48">
        <v>12.5532</v>
      </c>
      <c r="AE8" s="48">
        <v>12.5532</v>
      </c>
      <c r="AF8" s="48">
        <v>12.5532</v>
      </c>
      <c r="AG8" s="48">
        <v>12.5532</v>
      </c>
      <c r="AH8" s="48">
        <v>12.5532</v>
      </c>
      <c r="AI8" s="48">
        <v>12.5532</v>
      </c>
      <c r="AJ8" s="48">
        <v>12.5532</v>
      </c>
      <c r="AK8" s="48">
        <v>12.5532</v>
      </c>
      <c r="AL8" s="48">
        <v>12.5532</v>
      </c>
      <c r="AM8" s="48">
        <v>12.5532</v>
      </c>
      <c r="AN8" s="48">
        <v>12.5532</v>
      </c>
      <c r="AO8" s="48">
        <v>12.5532</v>
      </c>
      <c r="AP8" s="48">
        <v>12.5532</v>
      </c>
    </row>
    <row r="9" spans="1:42" x14ac:dyDescent="0.3">
      <c r="A9" s="48">
        <v>1</v>
      </c>
      <c r="B9" s="48" t="s">
        <v>63</v>
      </c>
      <c r="C9" s="48" t="s">
        <v>64</v>
      </c>
      <c r="D9" s="48">
        <v>8</v>
      </c>
      <c r="E9" s="48" t="s">
        <v>344</v>
      </c>
      <c r="F9" s="48" t="s">
        <v>352</v>
      </c>
      <c r="G9" s="48" t="s">
        <v>334</v>
      </c>
      <c r="H9" s="48"/>
      <c r="I9" s="48">
        <v>0</v>
      </c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</row>
    <row r="10" spans="1:42" x14ac:dyDescent="0.3">
      <c r="A10" s="48">
        <v>1</v>
      </c>
      <c r="B10" s="48" t="s">
        <v>63</v>
      </c>
      <c r="C10" s="48" t="s">
        <v>64</v>
      </c>
      <c r="D10" s="48">
        <v>9</v>
      </c>
      <c r="E10" s="48" t="s">
        <v>345</v>
      </c>
      <c r="F10" s="48" t="s">
        <v>353</v>
      </c>
      <c r="G10" s="48" t="s">
        <v>334</v>
      </c>
      <c r="H10" s="48"/>
      <c r="I10" s="48">
        <v>0</v>
      </c>
      <c r="J10" s="50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</row>
    <row r="11" spans="1:42" x14ac:dyDescent="0.3">
      <c r="A11" s="48">
        <v>1</v>
      </c>
      <c r="B11" s="48" t="s">
        <v>63</v>
      </c>
      <c r="C11" s="48" t="s">
        <v>64</v>
      </c>
      <c r="D11" s="48">
        <v>10</v>
      </c>
      <c r="E11" s="48" t="s">
        <v>346</v>
      </c>
      <c r="F11" s="48" t="s">
        <v>353</v>
      </c>
      <c r="G11" s="48" t="s">
        <v>350</v>
      </c>
      <c r="H11" s="48"/>
      <c r="I11" s="48">
        <v>0</v>
      </c>
      <c r="J11" s="50">
        <v>1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</row>
    <row r="12" spans="1:42" x14ac:dyDescent="0.3">
      <c r="A12" s="2">
        <v>2</v>
      </c>
      <c r="B12" s="2" t="s">
        <v>65</v>
      </c>
      <c r="C12" s="2" t="s">
        <v>66</v>
      </c>
      <c r="D12" s="2">
        <v>1</v>
      </c>
      <c r="E12" s="2" t="s">
        <v>333</v>
      </c>
      <c r="F12" s="2" t="s">
        <v>349</v>
      </c>
      <c r="G12" s="2" t="s">
        <v>350</v>
      </c>
      <c r="H12" s="2"/>
      <c r="I12" s="2">
        <v>0</v>
      </c>
      <c r="J12" s="2"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3">
      <c r="A13" s="2">
        <v>2</v>
      </c>
      <c r="B13" s="2" t="s">
        <v>65</v>
      </c>
      <c r="C13" s="2" t="s">
        <v>66</v>
      </c>
      <c r="D13" s="2">
        <v>2</v>
      </c>
      <c r="E13" s="2" t="s">
        <v>335</v>
      </c>
      <c r="F13" s="2" t="s">
        <v>349</v>
      </c>
      <c r="G13" s="2" t="s">
        <v>350</v>
      </c>
      <c r="H13" s="2"/>
      <c r="I13" s="2">
        <v>0</v>
      </c>
      <c r="J13" s="2">
        <v>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x14ac:dyDescent="0.3">
      <c r="A14" s="2">
        <v>2</v>
      </c>
      <c r="B14" s="2" t="s">
        <v>65</v>
      </c>
      <c r="C14" s="2" t="s">
        <v>66</v>
      </c>
      <c r="D14" s="2">
        <v>3</v>
      </c>
      <c r="E14" s="2" t="s">
        <v>336</v>
      </c>
      <c r="F14" s="2" t="s">
        <v>351</v>
      </c>
      <c r="G14" s="62" t="s">
        <v>350</v>
      </c>
      <c r="H14" s="62"/>
      <c r="I14" s="62">
        <v>0</v>
      </c>
      <c r="J14" s="62">
        <v>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3">
      <c r="A15" s="2">
        <v>2</v>
      </c>
      <c r="B15" s="2" t="s">
        <v>65</v>
      </c>
      <c r="C15" s="2" t="s">
        <v>66</v>
      </c>
      <c r="D15" s="2">
        <v>4</v>
      </c>
      <c r="E15" s="2" t="s">
        <v>339</v>
      </c>
      <c r="F15" s="2" t="s">
        <v>352</v>
      </c>
      <c r="G15" s="2" t="s">
        <v>334</v>
      </c>
      <c r="H15" s="2"/>
      <c r="I15" s="2">
        <v>0</v>
      </c>
      <c r="J15" s="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x14ac:dyDescent="0.3">
      <c r="A16" s="2">
        <v>2</v>
      </c>
      <c r="B16" s="2" t="s">
        <v>65</v>
      </c>
      <c r="C16" s="2" t="s">
        <v>66</v>
      </c>
      <c r="D16" s="2">
        <v>5</v>
      </c>
      <c r="E16" s="2" t="s">
        <v>340</v>
      </c>
      <c r="F16" s="2" t="s">
        <v>352</v>
      </c>
      <c r="G16" s="2" t="s">
        <v>334</v>
      </c>
      <c r="H16" s="2"/>
      <c r="I16" s="2">
        <v>0</v>
      </c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3">
      <c r="A17" s="2">
        <v>2</v>
      </c>
      <c r="B17" s="2" t="s">
        <v>65</v>
      </c>
      <c r="C17" s="2" t="s">
        <v>66</v>
      </c>
      <c r="D17" s="2">
        <v>6</v>
      </c>
      <c r="E17" s="2" t="s">
        <v>341</v>
      </c>
      <c r="F17" s="2"/>
      <c r="G17" s="2" t="s">
        <v>338</v>
      </c>
      <c r="H17" s="2" t="s">
        <v>436</v>
      </c>
      <c r="I17" s="2">
        <v>0</v>
      </c>
      <c r="J17" s="2">
        <v>11.29</v>
      </c>
      <c r="K17" s="2">
        <v>10.65</v>
      </c>
      <c r="L17" s="2">
        <v>4.2</v>
      </c>
      <c r="M17" s="2">
        <v>10.72</v>
      </c>
      <c r="N17" s="2">
        <v>10.72</v>
      </c>
      <c r="O17" s="2">
        <v>10.72</v>
      </c>
      <c r="P17" s="2">
        <v>10.72</v>
      </c>
      <c r="Q17" s="2">
        <v>10.72</v>
      </c>
      <c r="R17" s="2">
        <v>10.72</v>
      </c>
      <c r="S17" s="2">
        <v>10.72</v>
      </c>
      <c r="T17" s="2">
        <v>10.72</v>
      </c>
      <c r="U17" s="2">
        <v>10.72</v>
      </c>
      <c r="V17" s="2">
        <v>10.72</v>
      </c>
      <c r="W17" s="2">
        <v>10.72</v>
      </c>
      <c r="X17" s="2">
        <v>10.72</v>
      </c>
      <c r="Y17" s="2">
        <v>10.72</v>
      </c>
      <c r="Z17" s="2">
        <v>10.72</v>
      </c>
      <c r="AA17" s="2">
        <v>10.72</v>
      </c>
      <c r="AB17" s="2">
        <v>10.72</v>
      </c>
      <c r="AC17" s="2">
        <v>10.72</v>
      </c>
      <c r="AD17" s="2">
        <v>10.72</v>
      </c>
      <c r="AE17" s="2">
        <v>10.72</v>
      </c>
      <c r="AF17" s="2">
        <v>10.72</v>
      </c>
      <c r="AG17" s="2">
        <v>10.72</v>
      </c>
      <c r="AH17" s="2">
        <v>10.72</v>
      </c>
      <c r="AI17" s="2">
        <v>10.72</v>
      </c>
      <c r="AJ17" s="2">
        <v>10.72</v>
      </c>
      <c r="AK17" s="2">
        <v>10.72</v>
      </c>
      <c r="AL17" s="2">
        <v>10.72</v>
      </c>
      <c r="AM17" s="2">
        <v>10.72</v>
      </c>
      <c r="AN17" s="2">
        <v>10.72</v>
      </c>
      <c r="AO17" s="2">
        <v>10.72</v>
      </c>
      <c r="AP17" s="2">
        <v>10.72</v>
      </c>
    </row>
    <row r="18" spans="1:42" x14ac:dyDescent="0.3">
      <c r="A18" s="2">
        <v>2</v>
      </c>
      <c r="B18" s="2" t="s">
        <v>65</v>
      </c>
      <c r="C18" s="2" t="s">
        <v>66</v>
      </c>
      <c r="D18" s="2">
        <v>7</v>
      </c>
      <c r="E18" s="2" t="s">
        <v>343</v>
      </c>
      <c r="F18" s="2"/>
      <c r="G18" s="2" t="s">
        <v>338</v>
      </c>
      <c r="H18" s="2" t="s">
        <v>436</v>
      </c>
      <c r="I18" s="2">
        <v>0</v>
      </c>
      <c r="J18" s="2">
        <v>11.177099999999999</v>
      </c>
      <c r="K18" s="2">
        <v>10.5435</v>
      </c>
      <c r="L18" s="2">
        <v>4.1580000000000004</v>
      </c>
      <c r="M18" s="2">
        <v>10.6128</v>
      </c>
      <c r="N18" s="2">
        <v>10.6128</v>
      </c>
      <c r="O18" s="2">
        <v>10.6128</v>
      </c>
      <c r="P18" s="2">
        <v>10.6128</v>
      </c>
      <c r="Q18" s="2">
        <v>10.6128</v>
      </c>
      <c r="R18" s="2">
        <v>10.6128</v>
      </c>
      <c r="S18" s="2">
        <v>10.6128</v>
      </c>
      <c r="T18" s="2">
        <v>10.6128</v>
      </c>
      <c r="U18" s="2">
        <v>10.6128</v>
      </c>
      <c r="V18" s="2">
        <v>10.6128</v>
      </c>
      <c r="W18" s="2">
        <v>10.6128</v>
      </c>
      <c r="X18" s="2">
        <v>10.6128</v>
      </c>
      <c r="Y18" s="2">
        <v>10.6128</v>
      </c>
      <c r="Z18" s="2">
        <v>10.6128</v>
      </c>
      <c r="AA18" s="2">
        <v>10.6128</v>
      </c>
      <c r="AB18" s="2">
        <v>10.6128</v>
      </c>
      <c r="AC18" s="2">
        <v>10.6128</v>
      </c>
      <c r="AD18" s="2">
        <v>10.6128</v>
      </c>
      <c r="AE18" s="2">
        <v>10.6128</v>
      </c>
      <c r="AF18" s="2">
        <v>10.6128</v>
      </c>
      <c r="AG18" s="2">
        <v>10.6128</v>
      </c>
      <c r="AH18" s="2">
        <v>10.6128</v>
      </c>
      <c r="AI18" s="2">
        <v>10.6128</v>
      </c>
      <c r="AJ18" s="2">
        <v>10.6128</v>
      </c>
      <c r="AK18" s="2">
        <v>10.6128</v>
      </c>
      <c r="AL18" s="2">
        <v>10.6128</v>
      </c>
      <c r="AM18" s="2">
        <v>10.6128</v>
      </c>
      <c r="AN18" s="2">
        <v>10.6128</v>
      </c>
      <c r="AO18" s="2">
        <v>10.6128</v>
      </c>
      <c r="AP18" s="2">
        <v>10.6128</v>
      </c>
    </row>
    <row r="19" spans="1:42" x14ac:dyDescent="0.3">
      <c r="A19" s="2">
        <v>2</v>
      </c>
      <c r="B19" s="2" t="s">
        <v>65</v>
      </c>
      <c r="C19" s="2" t="s">
        <v>66</v>
      </c>
      <c r="D19" s="2">
        <v>8</v>
      </c>
      <c r="E19" s="2" t="s">
        <v>344</v>
      </c>
      <c r="F19" s="2" t="s">
        <v>352</v>
      </c>
      <c r="G19" s="2" t="s">
        <v>334</v>
      </c>
      <c r="H19" s="2"/>
      <c r="I19" s="2"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</row>
    <row r="20" spans="1:42" x14ac:dyDescent="0.3">
      <c r="A20" s="2">
        <v>2</v>
      </c>
      <c r="B20" s="2" t="s">
        <v>65</v>
      </c>
      <c r="C20" s="2" t="s">
        <v>66</v>
      </c>
      <c r="D20" s="2">
        <v>9</v>
      </c>
      <c r="E20" s="2" t="s">
        <v>345</v>
      </c>
      <c r="F20" s="2" t="s">
        <v>353</v>
      </c>
      <c r="G20" s="2" t="s">
        <v>334</v>
      </c>
      <c r="H20" s="2"/>
      <c r="I20" s="2">
        <v>0</v>
      </c>
      <c r="J20" s="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3">
      <c r="A21" s="2">
        <v>2</v>
      </c>
      <c r="B21" s="2" t="s">
        <v>65</v>
      </c>
      <c r="C21" s="2" t="s">
        <v>66</v>
      </c>
      <c r="D21" s="2">
        <v>10</v>
      </c>
      <c r="E21" s="2" t="s">
        <v>346</v>
      </c>
      <c r="F21" s="2" t="s">
        <v>353</v>
      </c>
      <c r="G21" s="2" t="s">
        <v>350</v>
      </c>
      <c r="H21" s="2"/>
      <c r="I21" s="2">
        <v>0</v>
      </c>
      <c r="J21" s="6">
        <v>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x14ac:dyDescent="0.3">
      <c r="A22" s="48">
        <v>3</v>
      </c>
      <c r="B22" s="48" t="s">
        <v>67</v>
      </c>
      <c r="C22" s="48" t="s">
        <v>68</v>
      </c>
      <c r="D22" s="48">
        <v>1</v>
      </c>
      <c r="E22" s="48" t="s">
        <v>333</v>
      </c>
      <c r="F22" s="48" t="s">
        <v>349</v>
      </c>
      <c r="G22" s="48" t="s">
        <v>350</v>
      </c>
      <c r="H22" s="48"/>
      <c r="I22" s="48">
        <v>0</v>
      </c>
      <c r="J22" s="48">
        <v>0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</row>
    <row r="23" spans="1:42" x14ac:dyDescent="0.3">
      <c r="A23" s="48">
        <v>3</v>
      </c>
      <c r="B23" s="48" t="s">
        <v>67</v>
      </c>
      <c r="C23" s="48" t="s">
        <v>68</v>
      </c>
      <c r="D23" s="48">
        <v>2</v>
      </c>
      <c r="E23" s="48" t="s">
        <v>335</v>
      </c>
      <c r="F23" s="48" t="s">
        <v>349</v>
      </c>
      <c r="G23" s="48" t="s">
        <v>350</v>
      </c>
      <c r="H23" s="48"/>
      <c r="I23" s="48">
        <v>0</v>
      </c>
      <c r="J23" s="48">
        <v>0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</row>
    <row r="24" spans="1:42" x14ac:dyDescent="0.3">
      <c r="A24" s="48">
        <v>3</v>
      </c>
      <c r="B24" s="48" t="s">
        <v>67</v>
      </c>
      <c r="C24" s="48" t="s">
        <v>68</v>
      </c>
      <c r="D24" s="48">
        <v>3</v>
      </c>
      <c r="E24" s="48" t="s">
        <v>336</v>
      </c>
      <c r="F24" s="48" t="s">
        <v>351</v>
      </c>
      <c r="G24" s="61" t="s">
        <v>350</v>
      </c>
      <c r="H24" s="61"/>
      <c r="I24" s="61">
        <v>0</v>
      </c>
      <c r="J24" s="61">
        <v>0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</row>
    <row r="25" spans="1:42" x14ac:dyDescent="0.3">
      <c r="A25" s="48">
        <v>3</v>
      </c>
      <c r="B25" s="48" t="s">
        <v>67</v>
      </c>
      <c r="C25" s="48" t="s">
        <v>68</v>
      </c>
      <c r="D25" s="48">
        <v>4</v>
      </c>
      <c r="E25" s="48" t="s">
        <v>339</v>
      </c>
      <c r="F25" s="48" t="s">
        <v>352</v>
      </c>
      <c r="G25" s="48" t="s">
        <v>334</v>
      </c>
      <c r="H25" s="48"/>
      <c r="I25" s="48">
        <v>0</v>
      </c>
      <c r="J25" s="50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</row>
    <row r="26" spans="1:42" x14ac:dyDescent="0.3">
      <c r="A26" s="48">
        <v>3</v>
      </c>
      <c r="B26" s="48" t="s">
        <v>67</v>
      </c>
      <c r="C26" s="48" t="s">
        <v>68</v>
      </c>
      <c r="D26" s="48">
        <v>5</v>
      </c>
      <c r="E26" s="48" t="s">
        <v>340</v>
      </c>
      <c r="F26" s="48" t="s">
        <v>352</v>
      </c>
      <c r="G26" s="48" t="s">
        <v>334</v>
      </c>
      <c r="H26" s="48"/>
      <c r="I26" s="48">
        <v>0</v>
      </c>
      <c r="J26" s="50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</row>
    <row r="27" spans="1:42" x14ac:dyDescent="0.3">
      <c r="A27" s="48">
        <v>3</v>
      </c>
      <c r="B27" s="48" t="s">
        <v>67</v>
      </c>
      <c r="C27" s="48" t="s">
        <v>68</v>
      </c>
      <c r="D27" s="48">
        <v>6</v>
      </c>
      <c r="E27" s="48" t="s">
        <v>341</v>
      </c>
      <c r="F27" s="48"/>
      <c r="G27" s="48" t="s">
        <v>338</v>
      </c>
      <c r="H27" s="48" t="s">
        <v>436</v>
      </c>
      <c r="I27" s="48">
        <v>0</v>
      </c>
      <c r="J27" s="48">
        <v>0.63</v>
      </c>
      <c r="K27" s="48">
        <v>1.22</v>
      </c>
      <c r="L27" s="48">
        <v>0.77</v>
      </c>
      <c r="M27" s="48">
        <v>1.6</v>
      </c>
      <c r="N27" s="48">
        <v>1.6</v>
      </c>
      <c r="O27" s="48">
        <v>1.6</v>
      </c>
      <c r="P27" s="48">
        <v>1.6</v>
      </c>
      <c r="Q27" s="48">
        <v>1.6</v>
      </c>
      <c r="R27" s="48">
        <v>1.6</v>
      </c>
      <c r="S27" s="48">
        <v>1.6</v>
      </c>
      <c r="T27" s="48">
        <v>1.6</v>
      </c>
      <c r="U27" s="48">
        <v>1.6</v>
      </c>
      <c r="V27" s="48">
        <v>1.6</v>
      </c>
      <c r="W27" s="48">
        <v>1.6</v>
      </c>
      <c r="X27" s="48">
        <v>1.6</v>
      </c>
      <c r="Y27" s="48">
        <v>1.6</v>
      </c>
      <c r="Z27" s="48">
        <v>1.6</v>
      </c>
      <c r="AA27" s="48">
        <v>1.6</v>
      </c>
      <c r="AB27" s="48">
        <v>1.6</v>
      </c>
      <c r="AC27" s="48">
        <v>1.6</v>
      </c>
      <c r="AD27" s="48">
        <v>1.6</v>
      </c>
      <c r="AE27" s="48">
        <v>1.6</v>
      </c>
      <c r="AF27" s="48">
        <v>1.6</v>
      </c>
      <c r="AG27" s="48">
        <v>1.6</v>
      </c>
      <c r="AH27" s="48">
        <v>1.6</v>
      </c>
      <c r="AI27" s="48">
        <v>1.6</v>
      </c>
      <c r="AJ27" s="48">
        <v>1.6</v>
      </c>
      <c r="AK27" s="48">
        <v>1.6</v>
      </c>
      <c r="AL27" s="48">
        <v>1.6</v>
      </c>
      <c r="AM27" s="48">
        <v>1.6</v>
      </c>
      <c r="AN27" s="48">
        <v>1.6</v>
      </c>
      <c r="AO27" s="48">
        <v>1.6</v>
      </c>
      <c r="AP27" s="48">
        <v>1.6</v>
      </c>
    </row>
    <row r="28" spans="1:42" x14ac:dyDescent="0.3">
      <c r="A28" s="48">
        <v>3</v>
      </c>
      <c r="B28" s="48" t="s">
        <v>67</v>
      </c>
      <c r="C28" s="48" t="s">
        <v>68</v>
      </c>
      <c r="D28" s="48">
        <v>7</v>
      </c>
      <c r="E28" s="48" t="s">
        <v>343</v>
      </c>
      <c r="F28" s="48"/>
      <c r="G28" s="48" t="s">
        <v>338</v>
      </c>
      <c r="H28" s="48" t="s">
        <v>436</v>
      </c>
      <c r="I28" s="48">
        <v>0</v>
      </c>
      <c r="J28" s="48">
        <v>0.62370000000000003</v>
      </c>
      <c r="K28" s="48">
        <v>1.2078</v>
      </c>
      <c r="L28" s="48">
        <v>0.76229999999999998</v>
      </c>
      <c r="M28" s="48">
        <v>1.5840000000000001</v>
      </c>
      <c r="N28" s="48">
        <v>1.5840000000000001</v>
      </c>
      <c r="O28" s="48">
        <v>1.5840000000000001</v>
      </c>
      <c r="P28" s="48">
        <v>1.5840000000000001</v>
      </c>
      <c r="Q28" s="48">
        <v>1.5840000000000001</v>
      </c>
      <c r="R28" s="48">
        <v>1.5840000000000001</v>
      </c>
      <c r="S28" s="48">
        <v>1.5840000000000001</v>
      </c>
      <c r="T28" s="48">
        <v>1.5840000000000001</v>
      </c>
      <c r="U28" s="48">
        <v>1.5840000000000001</v>
      </c>
      <c r="V28" s="48">
        <v>1.5840000000000001</v>
      </c>
      <c r="W28" s="48">
        <v>1.5840000000000001</v>
      </c>
      <c r="X28" s="48">
        <v>1.5840000000000001</v>
      </c>
      <c r="Y28" s="48">
        <v>1.5840000000000001</v>
      </c>
      <c r="Z28" s="48">
        <v>1.5840000000000001</v>
      </c>
      <c r="AA28" s="48">
        <v>1.5840000000000001</v>
      </c>
      <c r="AB28" s="48">
        <v>1.5840000000000001</v>
      </c>
      <c r="AC28" s="48">
        <v>1.5840000000000001</v>
      </c>
      <c r="AD28" s="48">
        <v>1.5840000000000001</v>
      </c>
      <c r="AE28" s="48">
        <v>1.5840000000000001</v>
      </c>
      <c r="AF28" s="48">
        <v>1.5840000000000001</v>
      </c>
      <c r="AG28" s="48">
        <v>1.5840000000000001</v>
      </c>
      <c r="AH28" s="48">
        <v>1.5840000000000001</v>
      </c>
      <c r="AI28" s="48">
        <v>1.5840000000000001</v>
      </c>
      <c r="AJ28" s="48">
        <v>1.5840000000000001</v>
      </c>
      <c r="AK28" s="48">
        <v>1.5840000000000001</v>
      </c>
      <c r="AL28" s="48">
        <v>1.5840000000000001</v>
      </c>
      <c r="AM28" s="48">
        <v>1.5840000000000001</v>
      </c>
      <c r="AN28" s="48">
        <v>1.5840000000000001</v>
      </c>
      <c r="AO28" s="48">
        <v>1.5840000000000001</v>
      </c>
      <c r="AP28" s="48">
        <v>1.5840000000000001</v>
      </c>
    </row>
    <row r="29" spans="1:42" x14ac:dyDescent="0.3">
      <c r="A29" s="48">
        <v>3</v>
      </c>
      <c r="B29" s="48" t="s">
        <v>67</v>
      </c>
      <c r="C29" s="48" t="s">
        <v>68</v>
      </c>
      <c r="D29" s="48">
        <v>8</v>
      </c>
      <c r="E29" s="48" t="s">
        <v>344</v>
      </c>
      <c r="F29" s="48" t="s">
        <v>352</v>
      </c>
      <c r="G29" s="48" t="s">
        <v>334</v>
      </c>
      <c r="H29" s="48"/>
      <c r="I29" s="48">
        <v>0</v>
      </c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</row>
    <row r="30" spans="1:42" x14ac:dyDescent="0.3">
      <c r="A30" s="48">
        <v>3</v>
      </c>
      <c r="B30" s="48" t="s">
        <v>67</v>
      </c>
      <c r="C30" s="48" t="s">
        <v>68</v>
      </c>
      <c r="D30" s="48">
        <v>9</v>
      </c>
      <c r="E30" s="48" t="s">
        <v>345</v>
      </c>
      <c r="F30" s="48" t="s">
        <v>353</v>
      </c>
      <c r="G30" s="48" t="s">
        <v>334</v>
      </c>
      <c r="H30" s="48"/>
      <c r="I30" s="48">
        <v>0</v>
      </c>
      <c r="J30" s="50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</row>
    <row r="31" spans="1:42" x14ac:dyDescent="0.3">
      <c r="A31" s="48">
        <v>3</v>
      </c>
      <c r="B31" s="48" t="s">
        <v>67</v>
      </c>
      <c r="C31" s="48" t="s">
        <v>68</v>
      </c>
      <c r="D31" s="48">
        <v>10</v>
      </c>
      <c r="E31" s="48" t="s">
        <v>346</v>
      </c>
      <c r="F31" s="48" t="s">
        <v>353</v>
      </c>
      <c r="G31" s="48" t="s">
        <v>350</v>
      </c>
      <c r="H31" s="48"/>
      <c r="I31" s="48">
        <v>0</v>
      </c>
      <c r="J31" s="50">
        <v>1</v>
      </c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</row>
    <row r="32" spans="1:42" x14ac:dyDescent="0.3">
      <c r="A32" s="2">
        <v>4</v>
      </c>
      <c r="B32" s="2" t="s">
        <v>69</v>
      </c>
      <c r="C32" s="2" t="s">
        <v>70</v>
      </c>
      <c r="D32" s="2">
        <v>1</v>
      </c>
      <c r="E32" s="2" t="s">
        <v>333</v>
      </c>
      <c r="F32" s="2" t="s">
        <v>349</v>
      </c>
      <c r="G32" s="2" t="s">
        <v>350</v>
      </c>
      <c r="H32" s="2"/>
      <c r="I32" s="2">
        <v>0</v>
      </c>
      <c r="J32" s="2"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3">
      <c r="A33" s="2">
        <v>4</v>
      </c>
      <c r="B33" s="2" t="s">
        <v>69</v>
      </c>
      <c r="C33" s="2" t="s">
        <v>70</v>
      </c>
      <c r="D33" s="2">
        <v>2</v>
      </c>
      <c r="E33" s="2" t="s">
        <v>335</v>
      </c>
      <c r="F33" s="2" t="s">
        <v>349</v>
      </c>
      <c r="G33" s="2" t="s">
        <v>350</v>
      </c>
      <c r="H33" s="2"/>
      <c r="I33" s="2">
        <v>0</v>
      </c>
      <c r="J33" s="2"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x14ac:dyDescent="0.3">
      <c r="A34" s="2">
        <v>4</v>
      </c>
      <c r="B34" s="2" t="s">
        <v>69</v>
      </c>
      <c r="C34" s="2" t="s">
        <v>70</v>
      </c>
      <c r="D34" s="2">
        <v>3</v>
      </c>
      <c r="E34" s="2" t="s">
        <v>336</v>
      </c>
      <c r="F34" s="2" t="s">
        <v>351</v>
      </c>
      <c r="G34" s="62" t="s">
        <v>350</v>
      </c>
      <c r="H34" s="62"/>
      <c r="I34" s="62">
        <v>0</v>
      </c>
      <c r="J34" s="62">
        <v>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3">
      <c r="A35" s="2">
        <v>4</v>
      </c>
      <c r="B35" s="2" t="s">
        <v>69</v>
      </c>
      <c r="C35" s="2" t="s">
        <v>70</v>
      </c>
      <c r="D35" s="2">
        <v>4</v>
      </c>
      <c r="E35" s="2" t="s">
        <v>339</v>
      </c>
      <c r="F35" s="2" t="s">
        <v>352</v>
      </c>
      <c r="G35" s="2" t="s">
        <v>334</v>
      </c>
      <c r="H35" s="2"/>
      <c r="I35" s="2">
        <v>0</v>
      </c>
      <c r="J35" s="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</row>
    <row r="36" spans="1:42" x14ac:dyDescent="0.3">
      <c r="A36" s="2">
        <v>4</v>
      </c>
      <c r="B36" s="2" t="s">
        <v>69</v>
      </c>
      <c r="C36" s="2" t="s">
        <v>70</v>
      </c>
      <c r="D36" s="2">
        <v>5</v>
      </c>
      <c r="E36" s="2" t="s">
        <v>340</v>
      </c>
      <c r="F36" s="2" t="s">
        <v>352</v>
      </c>
      <c r="G36" s="2" t="s">
        <v>334</v>
      </c>
      <c r="H36" s="2"/>
      <c r="I36" s="2">
        <v>0</v>
      </c>
      <c r="J36" s="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3">
      <c r="A37" s="2">
        <v>4</v>
      </c>
      <c r="B37" s="2" t="s">
        <v>69</v>
      </c>
      <c r="C37" s="2" t="s">
        <v>70</v>
      </c>
      <c r="D37" s="2">
        <v>6</v>
      </c>
      <c r="E37" s="2" t="s">
        <v>341</v>
      </c>
      <c r="F37" s="2"/>
      <c r="G37" s="2" t="s">
        <v>338</v>
      </c>
      <c r="H37" s="2" t="s">
        <v>436</v>
      </c>
      <c r="I37" s="2">
        <v>0</v>
      </c>
      <c r="J37" s="2">
        <v>14.72</v>
      </c>
      <c r="K37" s="2">
        <v>13.12</v>
      </c>
      <c r="L37" s="2">
        <v>5.44</v>
      </c>
      <c r="M37" s="2">
        <v>14.57</v>
      </c>
      <c r="N37" s="2">
        <v>14.57</v>
      </c>
      <c r="O37" s="2">
        <v>14.57</v>
      </c>
      <c r="P37" s="2">
        <v>14.57</v>
      </c>
      <c r="Q37" s="2">
        <v>14.57</v>
      </c>
      <c r="R37" s="2">
        <v>14.57</v>
      </c>
      <c r="S37" s="2">
        <v>14.57</v>
      </c>
      <c r="T37" s="2">
        <v>14.57</v>
      </c>
      <c r="U37" s="2">
        <v>14.57</v>
      </c>
      <c r="V37" s="2">
        <v>14.57</v>
      </c>
      <c r="W37" s="2">
        <v>14.57</v>
      </c>
      <c r="X37" s="2">
        <v>14.57</v>
      </c>
      <c r="Y37" s="2">
        <v>14.57</v>
      </c>
      <c r="Z37" s="2">
        <v>14.57</v>
      </c>
      <c r="AA37" s="2">
        <v>14.57</v>
      </c>
      <c r="AB37" s="2">
        <v>14.57</v>
      </c>
      <c r="AC37" s="2">
        <v>14.57</v>
      </c>
      <c r="AD37" s="2">
        <v>14.57</v>
      </c>
      <c r="AE37" s="2">
        <v>14.57</v>
      </c>
      <c r="AF37" s="2">
        <v>14.57</v>
      </c>
      <c r="AG37" s="2">
        <v>14.57</v>
      </c>
      <c r="AH37" s="2">
        <v>14.57</v>
      </c>
      <c r="AI37" s="2">
        <v>14.57</v>
      </c>
      <c r="AJ37" s="2">
        <v>14.57</v>
      </c>
      <c r="AK37" s="2">
        <v>14.57</v>
      </c>
      <c r="AL37" s="2">
        <v>14.57</v>
      </c>
      <c r="AM37" s="2">
        <v>14.57</v>
      </c>
      <c r="AN37" s="2">
        <v>14.57</v>
      </c>
      <c r="AO37" s="2">
        <v>14.57</v>
      </c>
      <c r="AP37" s="2">
        <v>14.57</v>
      </c>
    </row>
    <row r="38" spans="1:42" x14ac:dyDescent="0.3">
      <c r="A38" s="2">
        <v>4</v>
      </c>
      <c r="B38" s="2" t="s">
        <v>69</v>
      </c>
      <c r="C38" s="2" t="s">
        <v>70</v>
      </c>
      <c r="D38" s="2">
        <v>7</v>
      </c>
      <c r="E38" s="2" t="s">
        <v>343</v>
      </c>
      <c r="F38" s="2"/>
      <c r="G38" s="2" t="s">
        <v>338</v>
      </c>
      <c r="H38" s="2" t="s">
        <v>436</v>
      </c>
      <c r="I38" s="2">
        <v>0</v>
      </c>
      <c r="J38" s="2">
        <v>14.572800000000001</v>
      </c>
      <c r="K38" s="2">
        <v>12.988799999999999</v>
      </c>
      <c r="L38" s="2">
        <v>5.3856000000000002</v>
      </c>
      <c r="M38" s="2">
        <v>14.424300000000001</v>
      </c>
      <c r="N38" s="2">
        <v>14.424300000000001</v>
      </c>
      <c r="O38" s="2">
        <v>14.424300000000001</v>
      </c>
      <c r="P38" s="2">
        <v>14.424300000000001</v>
      </c>
      <c r="Q38" s="2">
        <v>14.424300000000001</v>
      </c>
      <c r="R38" s="2">
        <v>14.424300000000001</v>
      </c>
      <c r="S38" s="2">
        <v>14.424300000000001</v>
      </c>
      <c r="T38" s="2">
        <v>14.424300000000001</v>
      </c>
      <c r="U38" s="2">
        <v>14.424300000000001</v>
      </c>
      <c r="V38" s="2">
        <v>14.424300000000001</v>
      </c>
      <c r="W38" s="2">
        <v>14.424300000000001</v>
      </c>
      <c r="X38" s="2">
        <v>14.424300000000001</v>
      </c>
      <c r="Y38" s="2">
        <v>14.424300000000001</v>
      </c>
      <c r="Z38" s="2">
        <v>14.424300000000001</v>
      </c>
      <c r="AA38" s="2">
        <v>14.424300000000001</v>
      </c>
      <c r="AB38" s="2">
        <v>14.424300000000001</v>
      </c>
      <c r="AC38" s="2">
        <v>14.424300000000001</v>
      </c>
      <c r="AD38" s="2">
        <v>14.424300000000001</v>
      </c>
      <c r="AE38" s="2">
        <v>14.424300000000001</v>
      </c>
      <c r="AF38" s="2">
        <v>14.424300000000001</v>
      </c>
      <c r="AG38" s="2">
        <v>14.424300000000001</v>
      </c>
      <c r="AH38" s="2">
        <v>14.424300000000001</v>
      </c>
      <c r="AI38" s="2">
        <v>14.424300000000001</v>
      </c>
      <c r="AJ38" s="2">
        <v>14.424300000000001</v>
      </c>
      <c r="AK38" s="2">
        <v>14.424300000000001</v>
      </c>
      <c r="AL38" s="2">
        <v>14.424300000000001</v>
      </c>
      <c r="AM38" s="2">
        <v>14.424300000000001</v>
      </c>
      <c r="AN38" s="2">
        <v>14.424300000000001</v>
      </c>
      <c r="AO38" s="2">
        <v>14.424300000000001</v>
      </c>
      <c r="AP38" s="2">
        <v>14.424300000000001</v>
      </c>
    </row>
    <row r="39" spans="1:42" x14ac:dyDescent="0.3">
      <c r="A39" s="2">
        <v>4</v>
      </c>
      <c r="B39" s="2" t="s">
        <v>69</v>
      </c>
      <c r="C39" s="2" t="s">
        <v>70</v>
      </c>
      <c r="D39" s="2">
        <v>8</v>
      </c>
      <c r="E39" s="2" t="s">
        <v>344</v>
      </c>
      <c r="F39" s="2" t="s">
        <v>352</v>
      </c>
      <c r="G39" s="2" t="s">
        <v>334</v>
      </c>
      <c r="H39" s="2"/>
      <c r="I39" s="2"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3">
      <c r="A40" s="2">
        <v>4</v>
      </c>
      <c r="B40" s="2" t="s">
        <v>69</v>
      </c>
      <c r="C40" s="2" t="s">
        <v>70</v>
      </c>
      <c r="D40" s="2">
        <v>9</v>
      </c>
      <c r="E40" s="2" t="s">
        <v>345</v>
      </c>
      <c r="F40" s="2" t="s">
        <v>353</v>
      </c>
      <c r="G40" s="2" t="s">
        <v>334</v>
      </c>
      <c r="H40" s="2"/>
      <c r="I40" s="2">
        <v>0</v>
      </c>
      <c r="J40" s="6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3">
      <c r="A41" s="2">
        <v>4</v>
      </c>
      <c r="B41" s="2" t="s">
        <v>69</v>
      </c>
      <c r="C41" s="2" t="s">
        <v>70</v>
      </c>
      <c r="D41" s="2">
        <v>10</v>
      </c>
      <c r="E41" s="2" t="s">
        <v>346</v>
      </c>
      <c r="F41" s="2" t="s">
        <v>353</v>
      </c>
      <c r="G41" s="2" t="s">
        <v>350</v>
      </c>
      <c r="H41" s="2"/>
      <c r="I41" s="2">
        <v>0</v>
      </c>
      <c r="J41" s="6">
        <v>1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2" spans="1:42" x14ac:dyDescent="0.3">
      <c r="A42" s="48">
        <v>5</v>
      </c>
      <c r="B42" s="48" t="s">
        <v>71</v>
      </c>
      <c r="C42" s="48" t="s">
        <v>72</v>
      </c>
      <c r="D42" s="48">
        <v>1</v>
      </c>
      <c r="E42" s="48" t="s">
        <v>333</v>
      </c>
      <c r="F42" s="48" t="s">
        <v>349</v>
      </c>
      <c r="G42" s="48" t="s">
        <v>350</v>
      </c>
      <c r="H42" s="48" t="s">
        <v>437</v>
      </c>
      <c r="I42" s="48">
        <v>0</v>
      </c>
      <c r="J42" s="48">
        <v>38.46</v>
      </c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</row>
    <row r="43" spans="1:42" x14ac:dyDescent="0.3">
      <c r="A43" s="48">
        <v>5</v>
      </c>
      <c r="B43" s="48" t="s">
        <v>71</v>
      </c>
      <c r="C43" s="48" t="s">
        <v>72</v>
      </c>
      <c r="D43" s="48">
        <v>2</v>
      </c>
      <c r="E43" s="48" t="s">
        <v>335</v>
      </c>
      <c r="F43" s="48" t="s">
        <v>349</v>
      </c>
      <c r="G43" s="48" t="s">
        <v>350</v>
      </c>
      <c r="H43" s="48" t="s">
        <v>427</v>
      </c>
      <c r="I43" s="48">
        <v>0</v>
      </c>
      <c r="J43" s="48">
        <v>35.159999999999997</v>
      </c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</row>
    <row r="44" spans="1:42" x14ac:dyDescent="0.3">
      <c r="A44" s="48">
        <v>5</v>
      </c>
      <c r="B44" s="48" t="s">
        <v>71</v>
      </c>
      <c r="C44" s="48" t="s">
        <v>72</v>
      </c>
      <c r="D44" s="48">
        <v>3</v>
      </c>
      <c r="E44" s="48" t="s">
        <v>336</v>
      </c>
      <c r="F44" s="48" t="s">
        <v>337</v>
      </c>
      <c r="G44" s="48" t="s">
        <v>350</v>
      </c>
      <c r="H44" s="48" t="s">
        <v>433</v>
      </c>
      <c r="I44" s="48">
        <v>0</v>
      </c>
      <c r="J44" s="48">
        <v>1.5805555555555557</v>
      </c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</row>
    <row r="45" spans="1:42" x14ac:dyDescent="0.3">
      <c r="A45" s="48">
        <v>5</v>
      </c>
      <c r="B45" s="48" t="s">
        <v>71</v>
      </c>
      <c r="C45" s="48" t="s">
        <v>72</v>
      </c>
      <c r="D45" s="48">
        <v>4</v>
      </c>
      <c r="E45" s="48" t="s">
        <v>339</v>
      </c>
      <c r="F45" s="48" t="s">
        <v>352</v>
      </c>
      <c r="G45" s="48" t="s">
        <v>350</v>
      </c>
      <c r="H45" s="48" t="s">
        <v>429</v>
      </c>
      <c r="I45" s="48">
        <v>0</v>
      </c>
      <c r="J45" s="50">
        <v>0.03</v>
      </c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</row>
    <row r="46" spans="1:42" x14ac:dyDescent="0.3">
      <c r="A46" s="48">
        <v>5</v>
      </c>
      <c r="B46" s="48" t="s">
        <v>71</v>
      </c>
      <c r="C46" s="48" t="s">
        <v>72</v>
      </c>
      <c r="D46" s="48">
        <v>5</v>
      </c>
      <c r="E46" s="48" t="s">
        <v>340</v>
      </c>
      <c r="F46" s="48" t="s">
        <v>352</v>
      </c>
      <c r="G46" s="48" t="s">
        <v>338</v>
      </c>
      <c r="H46" s="48" t="s">
        <v>429</v>
      </c>
      <c r="I46" s="48">
        <v>0</v>
      </c>
      <c r="J46" s="50">
        <v>0.03</v>
      </c>
      <c r="K46" s="48">
        <v>0.03</v>
      </c>
      <c r="L46" s="48">
        <v>0.03</v>
      </c>
      <c r="M46" s="48">
        <v>0.03</v>
      </c>
      <c r="N46" s="48">
        <v>0.03</v>
      </c>
      <c r="O46" s="48">
        <v>0.03</v>
      </c>
      <c r="P46" s="48">
        <v>0.03</v>
      </c>
      <c r="Q46" s="48">
        <v>0.03</v>
      </c>
      <c r="R46" s="48">
        <v>0.03</v>
      </c>
      <c r="S46" s="48">
        <f>R46</f>
        <v>0.03</v>
      </c>
      <c r="T46" s="48">
        <f t="shared" ref="T46:AP46" si="0">S46</f>
        <v>0.03</v>
      </c>
      <c r="U46" s="48">
        <f t="shared" si="0"/>
        <v>0.03</v>
      </c>
      <c r="V46" s="48">
        <f t="shared" si="0"/>
        <v>0.03</v>
      </c>
      <c r="W46" s="48">
        <f t="shared" si="0"/>
        <v>0.03</v>
      </c>
      <c r="X46" s="48">
        <f t="shared" si="0"/>
        <v>0.03</v>
      </c>
      <c r="Y46" s="48">
        <f t="shared" si="0"/>
        <v>0.03</v>
      </c>
      <c r="Z46" s="48">
        <f t="shared" si="0"/>
        <v>0.03</v>
      </c>
      <c r="AA46" s="48">
        <f t="shared" si="0"/>
        <v>0.03</v>
      </c>
      <c r="AB46" s="48">
        <f t="shared" si="0"/>
        <v>0.03</v>
      </c>
      <c r="AC46" s="48">
        <f t="shared" si="0"/>
        <v>0.03</v>
      </c>
      <c r="AD46" s="48">
        <f t="shared" si="0"/>
        <v>0.03</v>
      </c>
      <c r="AE46" s="48">
        <f t="shared" si="0"/>
        <v>0.03</v>
      </c>
      <c r="AF46" s="48">
        <f t="shared" si="0"/>
        <v>0.03</v>
      </c>
      <c r="AG46" s="48">
        <f t="shared" si="0"/>
        <v>0.03</v>
      </c>
      <c r="AH46" s="48">
        <f t="shared" si="0"/>
        <v>0.03</v>
      </c>
      <c r="AI46" s="48">
        <f t="shared" si="0"/>
        <v>0.03</v>
      </c>
      <c r="AJ46" s="48">
        <f t="shared" si="0"/>
        <v>0.03</v>
      </c>
      <c r="AK46" s="48">
        <f t="shared" si="0"/>
        <v>0.03</v>
      </c>
      <c r="AL46" s="48">
        <f t="shared" si="0"/>
        <v>0.03</v>
      </c>
      <c r="AM46" s="48">
        <f t="shared" si="0"/>
        <v>0.03</v>
      </c>
      <c r="AN46" s="48">
        <f t="shared" si="0"/>
        <v>0.03</v>
      </c>
      <c r="AO46" s="48">
        <f t="shared" si="0"/>
        <v>0.03</v>
      </c>
      <c r="AP46" s="48">
        <f t="shared" si="0"/>
        <v>0.03</v>
      </c>
    </row>
    <row r="47" spans="1:42" x14ac:dyDescent="0.3">
      <c r="A47" s="48">
        <v>5</v>
      </c>
      <c r="B47" s="48" t="s">
        <v>71</v>
      </c>
      <c r="C47" s="48" t="s">
        <v>72</v>
      </c>
      <c r="D47" s="48">
        <v>6</v>
      </c>
      <c r="E47" s="48" t="s">
        <v>341</v>
      </c>
      <c r="F47" s="48"/>
      <c r="G47" s="48" t="s">
        <v>334</v>
      </c>
      <c r="H47" s="48"/>
      <c r="I47" s="48">
        <v>0</v>
      </c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</row>
    <row r="48" spans="1:42" x14ac:dyDescent="0.3">
      <c r="A48" s="48">
        <v>5</v>
      </c>
      <c r="B48" s="48" t="s">
        <v>71</v>
      </c>
      <c r="C48" s="48" t="s">
        <v>72</v>
      </c>
      <c r="D48" s="48">
        <v>7</v>
      </c>
      <c r="E48" s="48" t="s">
        <v>343</v>
      </c>
      <c r="F48" s="48" t="s">
        <v>342</v>
      </c>
      <c r="G48" s="48" t="s">
        <v>338</v>
      </c>
      <c r="H48" s="48" t="s">
        <v>429</v>
      </c>
      <c r="I48" s="48">
        <v>0</v>
      </c>
      <c r="J48" s="48">
        <v>0.71156231999999986</v>
      </c>
      <c r="K48" s="48">
        <v>0.72863783999999998</v>
      </c>
      <c r="L48" s="48">
        <v>0.59150771870399999</v>
      </c>
      <c r="M48" s="48">
        <v>0.78674399999999989</v>
      </c>
      <c r="N48" s="127">
        <v>0.74835610928961749</v>
      </c>
      <c r="O48" s="48">
        <v>0.79725743999999987</v>
      </c>
      <c r="P48" s="48">
        <v>0.74172671999999995</v>
      </c>
      <c r="Q48" s="48">
        <v>0.74172671999999995</v>
      </c>
      <c r="R48" s="48">
        <v>0.74172671999999995</v>
      </c>
      <c r="S48" s="48">
        <f>S46*S50*8760*0.0036*1*0.98</f>
        <v>0.74172671999999995</v>
      </c>
      <c r="T48" s="48">
        <f t="shared" ref="T48:AP48" si="1">T46*T50*8760*0.0036*1*0.98</f>
        <v>0.74172671999999995</v>
      </c>
      <c r="U48" s="48">
        <f t="shared" si="1"/>
        <v>0.74172671999999995</v>
      </c>
      <c r="V48" s="48">
        <f t="shared" si="1"/>
        <v>0.74172671999999995</v>
      </c>
      <c r="W48" s="48">
        <f t="shared" si="1"/>
        <v>0.74172671999999995</v>
      </c>
      <c r="X48" s="48">
        <f t="shared" si="1"/>
        <v>0.74172671999999995</v>
      </c>
      <c r="Y48" s="48">
        <f t="shared" si="1"/>
        <v>0.74172671999999995</v>
      </c>
      <c r="Z48" s="48">
        <f t="shared" si="1"/>
        <v>0.74172671999999995</v>
      </c>
      <c r="AA48" s="48">
        <f t="shared" si="1"/>
        <v>0.74172671999999995</v>
      </c>
      <c r="AB48" s="48">
        <f t="shared" si="1"/>
        <v>0.74172671999999995</v>
      </c>
      <c r="AC48" s="48">
        <f t="shared" si="1"/>
        <v>0.74172671999999995</v>
      </c>
      <c r="AD48" s="48">
        <f t="shared" si="1"/>
        <v>0.74172671999999995</v>
      </c>
      <c r="AE48" s="48">
        <f t="shared" si="1"/>
        <v>0.74172671999999995</v>
      </c>
      <c r="AF48" s="48">
        <f t="shared" si="1"/>
        <v>0.74172671999999995</v>
      </c>
      <c r="AG48" s="48">
        <f t="shared" si="1"/>
        <v>0.74172671999999995</v>
      </c>
      <c r="AH48" s="48">
        <f t="shared" si="1"/>
        <v>0.74172671999999995</v>
      </c>
      <c r="AI48" s="48">
        <f t="shared" si="1"/>
        <v>0.74172671999999995</v>
      </c>
      <c r="AJ48" s="48">
        <f t="shared" si="1"/>
        <v>0.74172671999999995</v>
      </c>
      <c r="AK48" s="48">
        <f t="shared" si="1"/>
        <v>0.74172671999999995</v>
      </c>
      <c r="AL48" s="48">
        <f t="shared" si="1"/>
        <v>0.74172671999999995</v>
      </c>
      <c r="AM48" s="48">
        <f t="shared" si="1"/>
        <v>0.74172671999999995</v>
      </c>
      <c r="AN48" s="48">
        <f t="shared" si="1"/>
        <v>0.74172671999999995</v>
      </c>
      <c r="AO48" s="48">
        <f t="shared" si="1"/>
        <v>0.74172671999999995</v>
      </c>
      <c r="AP48" s="48">
        <f t="shared" si="1"/>
        <v>0.74172671999999995</v>
      </c>
    </row>
    <row r="49" spans="1:42" x14ac:dyDescent="0.3">
      <c r="A49" s="48">
        <v>5</v>
      </c>
      <c r="B49" s="48" t="s">
        <v>71</v>
      </c>
      <c r="C49" s="48" t="s">
        <v>72</v>
      </c>
      <c r="D49" s="48">
        <v>8</v>
      </c>
      <c r="E49" s="48" t="s">
        <v>344</v>
      </c>
      <c r="F49" s="48" t="s">
        <v>352</v>
      </c>
      <c r="G49" s="48" t="s">
        <v>334</v>
      </c>
      <c r="H49" s="48"/>
      <c r="I49" s="48">
        <v>0</v>
      </c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</row>
    <row r="50" spans="1:42" x14ac:dyDescent="0.3">
      <c r="A50" s="48">
        <v>5</v>
      </c>
      <c r="B50" s="48" t="s">
        <v>71</v>
      </c>
      <c r="C50" s="48" t="s">
        <v>72</v>
      </c>
      <c r="D50" s="48">
        <v>9</v>
      </c>
      <c r="E50" s="48" t="s">
        <v>345</v>
      </c>
      <c r="F50" s="48" t="s">
        <v>353</v>
      </c>
      <c r="G50" s="48" t="s">
        <v>338</v>
      </c>
      <c r="H50" s="48" t="s">
        <v>429</v>
      </c>
      <c r="I50" s="48">
        <v>0</v>
      </c>
      <c r="J50" s="50">
        <v>0.7674657534246575</v>
      </c>
      <c r="K50" s="48">
        <v>0.78588280060882798</v>
      </c>
      <c r="L50" s="48">
        <v>0.63797914003044143</v>
      </c>
      <c r="M50" s="48">
        <v>0.84855403348554026</v>
      </c>
      <c r="N50" s="127">
        <v>0.8071502229711961</v>
      </c>
      <c r="O50" s="48">
        <v>0.85989345509893444</v>
      </c>
      <c r="P50" s="48">
        <v>0.8</v>
      </c>
      <c r="Q50" s="48">
        <v>0.8</v>
      </c>
      <c r="R50" s="48">
        <v>0.8</v>
      </c>
      <c r="S50" s="48">
        <v>0.8</v>
      </c>
      <c r="T50" s="48">
        <v>0.8</v>
      </c>
      <c r="U50" s="48">
        <v>0.8</v>
      </c>
      <c r="V50" s="48">
        <v>0.8</v>
      </c>
      <c r="W50" s="48">
        <v>0.8</v>
      </c>
      <c r="X50" s="48">
        <v>0.8</v>
      </c>
      <c r="Y50" s="48">
        <v>0.8</v>
      </c>
      <c r="Z50" s="48">
        <v>0.8</v>
      </c>
      <c r="AA50" s="48">
        <v>0.8</v>
      </c>
      <c r="AB50" s="48">
        <v>0.8</v>
      </c>
      <c r="AC50" s="48">
        <v>0.8</v>
      </c>
      <c r="AD50" s="48">
        <v>0.8</v>
      </c>
      <c r="AE50" s="48">
        <v>0.8</v>
      </c>
      <c r="AF50" s="48">
        <v>0.8</v>
      </c>
      <c r="AG50" s="48">
        <v>0.8</v>
      </c>
      <c r="AH50" s="48">
        <v>0.8</v>
      </c>
      <c r="AI50" s="48">
        <v>0.8</v>
      </c>
      <c r="AJ50" s="48">
        <v>0.8</v>
      </c>
      <c r="AK50" s="48">
        <v>0.8</v>
      </c>
      <c r="AL50" s="48">
        <v>0.8</v>
      </c>
      <c r="AM50" s="48">
        <v>0.8</v>
      </c>
      <c r="AN50" s="48">
        <v>0.8</v>
      </c>
      <c r="AO50" s="48">
        <v>0.8</v>
      </c>
      <c r="AP50" s="48">
        <v>0.8</v>
      </c>
    </row>
    <row r="51" spans="1:42" x14ac:dyDescent="0.3">
      <c r="A51" s="48">
        <v>5</v>
      </c>
      <c r="B51" s="48" t="s">
        <v>71</v>
      </c>
      <c r="C51" s="48" t="s">
        <v>72</v>
      </c>
      <c r="D51" s="48">
        <v>10</v>
      </c>
      <c r="E51" s="48" t="s">
        <v>346</v>
      </c>
      <c r="F51" s="48" t="s">
        <v>353</v>
      </c>
      <c r="G51" s="48" t="s">
        <v>350</v>
      </c>
      <c r="H51" s="48"/>
      <c r="I51" s="48">
        <v>0</v>
      </c>
      <c r="J51" s="50">
        <v>1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</row>
    <row r="52" spans="1:42" x14ac:dyDescent="0.3">
      <c r="A52" s="2">
        <v>6</v>
      </c>
      <c r="B52" s="2" t="s">
        <v>73</v>
      </c>
      <c r="C52" s="2" t="s">
        <v>74</v>
      </c>
      <c r="D52" s="2">
        <v>1</v>
      </c>
      <c r="E52" s="2" t="s">
        <v>333</v>
      </c>
      <c r="F52" s="2" t="s">
        <v>349</v>
      </c>
      <c r="G52" s="2" t="s">
        <v>350</v>
      </c>
      <c r="H52" s="2"/>
      <c r="I52" s="2">
        <v>0</v>
      </c>
      <c r="J52" s="2">
        <v>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</row>
    <row r="53" spans="1:42" x14ac:dyDescent="0.3">
      <c r="A53" s="2">
        <v>6</v>
      </c>
      <c r="B53" s="2" t="s">
        <v>73</v>
      </c>
      <c r="C53" s="2" t="s">
        <v>74</v>
      </c>
      <c r="D53" s="2">
        <v>2</v>
      </c>
      <c r="E53" s="2" t="s">
        <v>335</v>
      </c>
      <c r="F53" s="2" t="s">
        <v>349</v>
      </c>
      <c r="G53" s="2" t="s">
        <v>350</v>
      </c>
      <c r="H53" s="2"/>
      <c r="I53" s="2">
        <v>0</v>
      </c>
      <c r="J53" s="2">
        <v>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</row>
    <row r="54" spans="1:42" x14ac:dyDescent="0.3">
      <c r="A54" s="2">
        <v>6</v>
      </c>
      <c r="B54" s="2" t="s">
        <v>73</v>
      </c>
      <c r="C54" s="2" t="s">
        <v>74</v>
      </c>
      <c r="D54" s="2">
        <v>3</v>
      </c>
      <c r="E54" s="2" t="s">
        <v>336</v>
      </c>
      <c r="F54" s="2" t="s">
        <v>337</v>
      </c>
      <c r="G54" s="2" t="s">
        <v>350</v>
      </c>
      <c r="H54" s="2"/>
      <c r="I54" s="2">
        <v>0</v>
      </c>
      <c r="J54" s="2">
        <v>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</row>
    <row r="55" spans="1:42" x14ac:dyDescent="0.3">
      <c r="A55" s="2">
        <v>6</v>
      </c>
      <c r="B55" s="2" t="s">
        <v>73</v>
      </c>
      <c r="C55" s="2" t="s">
        <v>74</v>
      </c>
      <c r="D55" s="2">
        <v>4</v>
      </c>
      <c r="E55" s="2" t="s">
        <v>339</v>
      </c>
      <c r="F55" s="2" t="s">
        <v>352</v>
      </c>
      <c r="G55" s="2" t="s">
        <v>350</v>
      </c>
      <c r="H55" s="2"/>
      <c r="I55" s="2">
        <v>0</v>
      </c>
      <c r="J55" s="6">
        <v>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</row>
    <row r="56" spans="1:42" x14ac:dyDescent="0.3">
      <c r="A56" s="2">
        <v>6</v>
      </c>
      <c r="B56" s="2" t="s">
        <v>73</v>
      </c>
      <c r="C56" s="2" t="s">
        <v>74</v>
      </c>
      <c r="D56" s="2">
        <v>5</v>
      </c>
      <c r="E56" s="2" t="s">
        <v>340</v>
      </c>
      <c r="F56" s="2" t="s">
        <v>352</v>
      </c>
      <c r="G56" s="2" t="s">
        <v>334</v>
      </c>
      <c r="H56" s="2"/>
      <c r="I56" s="2">
        <v>0</v>
      </c>
      <c r="J56" s="6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</row>
    <row r="57" spans="1:42" x14ac:dyDescent="0.3">
      <c r="A57" s="2">
        <v>6</v>
      </c>
      <c r="B57" s="2" t="s">
        <v>73</v>
      </c>
      <c r="C57" s="2" t="s">
        <v>74</v>
      </c>
      <c r="D57" s="2">
        <v>6</v>
      </c>
      <c r="E57" s="2" t="s">
        <v>341</v>
      </c>
      <c r="F57" s="2"/>
      <c r="G57" s="52" t="s">
        <v>338</v>
      </c>
      <c r="H57" s="52"/>
      <c r="I57" s="52">
        <v>0</v>
      </c>
      <c r="J57" s="52">
        <v>16</v>
      </c>
      <c r="K57" s="52">
        <v>6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2">
        <v>0</v>
      </c>
      <c r="AG57" s="52">
        <v>0</v>
      </c>
      <c r="AH57" s="52">
        <v>0</v>
      </c>
      <c r="AI57" s="52">
        <v>0</v>
      </c>
      <c r="AJ57" s="52">
        <v>0</v>
      </c>
      <c r="AK57" s="52">
        <v>0</v>
      </c>
      <c r="AL57" s="52">
        <v>0</v>
      </c>
      <c r="AM57" s="52">
        <v>0</v>
      </c>
      <c r="AN57" s="52">
        <v>0</v>
      </c>
      <c r="AO57" s="52">
        <v>0</v>
      </c>
      <c r="AP57" s="52">
        <v>0</v>
      </c>
    </row>
    <row r="58" spans="1:42" x14ac:dyDescent="0.3">
      <c r="A58" s="2">
        <v>6</v>
      </c>
      <c r="B58" s="2" t="s">
        <v>73</v>
      </c>
      <c r="C58" s="2" t="s">
        <v>74</v>
      </c>
      <c r="D58" s="2">
        <v>7</v>
      </c>
      <c r="E58" s="2" t="s">
        <v>343</v>
      </c>
      <c r="F58" s="2"/>
      <c r="G58" s="2" t="s">
        <v>334</v>
      </c>
      <c r="H58" s="2"/>
      <c r="I58" s="2">
        <v>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</row>
    <row r="59" spans="1:42" x14ac:dyDescent="0.3">
      <c r="A59" s="2">
        <v>6</v>
      </c>
      <c r="B59" s="2" t="s">
        <v>73</v>
      </c>
      <c r="C59" s="2" t="s">
        <v>74</v>
      </c>
      <c r="D59" s="2">
        <v>8</v>
      </c>
      <c r="E59" s="2" t="s">
        <v>344</v>
      </c>
      <c r="F59" s="2" t="s">
        <v>352</v>
      </c>
      <c r="G59" s="2" t="s">
        <v>334</v>
      </c>
      <c r="H59" s="2"/>
      <c r="I59" s="2">
        <v>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</row>
    <row r="60" spans="1:42" x14ac:dyDescent="0.3">
      <c r="A60" s="2">
        <v>6</v>
      </c>
      <c r="B60" s="2" t="s">
        <v>73</v>
      </c>
      <c r="C60" s="2" t="s">
        <v>74</v>
      </c>
      <c r="D60" s="2">
        <v>9</v>
      </c>
      <c r="E60" s="2" t="s">
        <v>345</v>
      </c>
      <c r="F60" s="2" t="s">
        <v>353</v>
      </c>
      <c r="G60" s="2" t="s">
        <v>350</v>
      </c>
      <c r="H60" s="2"/>
      <c r="I60" s="2">
        <v>0</v>
      </c>
      <c r="J60" s="6">
        <v>0.5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</row>
    <row r="61" spans="1:42" x14ac:dyDescent="0.3">
      <c r="A61" s="2">
        <v>6</v>
      </c>
      <c r="B61" s="2" t="s">
        <v>73</v>
      </c>
      <c r="C61" s="2" t="s">
        <v>74</v>
      </c>
      <c r="D61" s="2">
        <v>10</v>
      </c>
      <c r="E61" s="2" t="s">
        <v>346</v>
      </c>
      <c r="F61" s="2" t="s">
        <v>353</v>
      </c>
      <c r="G61" s="2" t="s">
        <v>350</v>
      </c>
      <c r="H61" s="2"/>
      <c r="I61" s="2">
        <v>0</v>
      </c>
      <c r="J61" s="6">
        <v>1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</row>
    <row r="62" spans="1:42" x14ac:dyDescent="0.3">
      <c r="A62" s="48">
        <v>7</v>
      </c>
      <c r="B62" s="48" t="s">
        <v>75</v>
      </c>
      <c r="C62" s="48" t="s">
        <v>76</v>
      </c>
      <c r="D62" s="48">
        <v>1</v>
      </c>
      <c r="E62" s="48" t="s">
        <v>333</v>
      </c>
      <c r="F62" s="48" t="s">
        <v>349</v>
      </c>
      <c r="G62" s="48" t="s">
        <v>350</v>
      </c>
      <c r="H62" s="48" t="s">
        <v>432</v>
      </c>
      <c r="I62" s="48">
        <v>0</v>
      </c>
      <c r="J62" s="48">
        <v>3676</v>
      </c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</row>
    <row r="63" spans="1:42" x14ac:dyDescent="0.3">
      <c r="A63" s="48">
        <v>7</v>
      </c>
      <c r="B63" s="48" t="s">
        <v>75</v>
      </c>
      <c r="C63" s="48" t="s">
        <v>76</v>
      </c>
      <c r="D63" s="48">
        <v>2</v>
      </c>
      <c r="E63" s="48" t="s">
        <v>335</v>
      </c>
      <c r="F63" s="48" t="s">
        <v>349</v>
      </c>
      <c r="G63" s="48" t="s">
        <v>350</v>
      </c>
      <c r="H63" s="48" t="s">
        <v>438</v>
      </c>
      <c r="I63" s="48">
        <v>0</v>
      </c>
      <c r="J63" s="48">
        <v>82</v>
      </c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</row>
    <row r="64" spans="1:42" x14ac:dyDescent="0.3">
      <c r="A64" s="48">
        <v>7</v>
      </c>
      <c r="B64" s="48" t="s">
        <v>75</v>
      </c>
      <c r="C64" s="48" t="s">
        <v>76</v>
      </c>
      <c r="D64" s="48">
        <v>3</v>
      </c>
      <c r="E64" s="48" t="s">
        <v>336</v>
      </c>
      <c r="F64" s="48" t="s">
        <v>337</v>
      </c>
      <c r="G64" s="48" t="s">
        <v>338</v>
      </c>
      <c r="H64" s="48" t="s">
        <v>438</v>
      </c>
      <c r="I64" s="48">
        <v>0</v>
      </c>
      <c r="J64" s="48">
        <v>0.97944444444444434</v>
      </c>
      <c r="K64" s="48">
        <v>0.80277777777777781</v>
      </c>
      <c r="L64" s="48">
        <v>1.1972222222222222</v>
      </c>
      <c r="M64" s="48">
        <v>0.7055555555555556</v>
      </c>
      <c r="N64" s="48">
        <v>0.7055555555555556</v>
      </c>
      <c r="O64" s="48">
        <v>0.7055555555555556</v>
      </c>
      <c r="P64" s="48">
        <v>0.7055555555555556</v>
      </c>
      <c r="Q64" s="48">
        <v>0.7055555555555556</v>
      </c>
      <c r="R64" s="48">
        <v>0.7055555555555556</v>
      </c>
      <c r="S64" s="48">
        <v>0.7055555555555556</v>
      </c>
      <c r="T64" s="48">
        <v>0.7055555555555556</v>
      </c>
      <c r="U64" s="48">
        <v>0.7055555555555556</v>
      </c>
      <c r="V64" s="48">
        <v>0.7055555555555556</v>
      </c>
      <c r="W64" s="48">
        <v>0.7055555555555556</v>
      </c>
      <c r="X64" s="48">
        <v>0.7055555555555556</v>
      </c>
      <c r="Y64" s="48">
        <v>0.7055555555555556</v>
      </c>
      <c r="Z64" s="48">
        <v>0.7055555555555556</v>
      </c>
      <c r="AA64" s="48">
        <v>0.7055555555555556</v>
      </c>
      <c r="AB64" s="48">
        <v>0.7055555555555556</v>
      </c>
      <c r="AC64" s="48">
        <v>0.7055555555555556</v>
      </c>
      <c r="AD64" s="48">
        <v>0.7055555555555556</v>
      </c>
      <c r="AE64" s="48">
        <v>0.7055555555555556</v>
      </c>
      <c r="AF64" s="48">
        <v>0.7055555555555556</v>
      </c>
      <c r="AG64" s="48">
        <v>0.7055555555555556</v>
      </c>
      <c r="AH64" s="48">
        <v>0.7055555555555556</v>
      </c>
      <c r="AI64" s="48">
        <v>0.7055555555555556</v>
      </c>
      <c r="AJ64" s="48">
        <v>0.7055555555555556</v>
      </c>
      <c r="AK64" s="48">
        <v>0.7055555555555556</v>
      </c>
      <c r="AL64" s="48">
        <v>0.7055555555555556</v>
      </c>
      <c r="AM64" s="48">
        <v>0.7055555555555556</v>
      </c>
      <c r="AN64" s="48">
        <v>0.7055555555555556</v>
      </c>
      <c r="AO64" s="48">
        <v>0.7055555555555556</v>
      </c>
      <c r="AP64" s="48">
        <v>0.7055555555555556</v>
      </c>
    </row>
    <row r="65" spans="1:42" x14ac:dyDescent="0.3">
      <c r="A65" s="48">
        <v>7</v>
      </c>
      <c r="B65" s="48" t="s">
        <v>75</v>
      </c>
      <c r="C65" s="48" t="s">
        <v>76</v>
      </c>
      <c r="D65" s="48">
        <v>4</v>
      </c>
      <c r="E65" s="48" t="s">
        <v>339</v>
      </c>
      <c r="F65" s="48" t="s">
        <v>352</v>
      </c>
      <c r="G65" s="48" t="s">
        <v>350</v>
      </c>
      <c r="H65" s="48" t="s">
        <v>429</v>
      </c>
      <c r="I65" s="48">
        <v>0</v>
      </c>
      <c r="J65" s="50">
        <v>1.0938749999999999</v>
      </c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</row>
    <row r="66" spans="1:42" x14ac:dyDescent="0.3">
      <c r="A66" s="48">
        <v>7</v>
      </c>
      <c r="B66" s="48" t="s">
        <v>75</v>
      </c>
      <c r="C66" s="48" t="s">
        <v>76</v>
      </c>
      <c r="D66" s="48">
        <v>5</v>
      </c>
      <c r="E66" s="48" t="s">
        <v>340</v>
      </c>
      <c r="F66" s="48" t="s">
        <v>352</v>
      </c>
      <c r="G66" s="48" t="s">
        <v>338</v>
      </c>
      <c r="H66" s="48" t="s">
        <v>429</v>
      </c>
      <c r="I66" s="48">
        <v>0</v>
      </c>
      <c r="J66" s="50">
        <v>1.0938749999999999</v>
      </c>
      <c r="K66" s="48">
        <v>1.0938749999999999</v>
      </c>
      <c r="L66" s="48">
        <v>1.0938749999999999</v>
      </c>
      <c r="M66" s="48">
        <v>1.0938800000000002</v>
      </c>
      <c r="N66" s="48">
        <v>1.09388</v>
      </c>
      <c r="O66" s="48">
        <v>1.0938800000000002</v>
      </c>
      <c r="P66" s="48">
        <v>1.0938800000000002</v>
      </c>
      <c r="Q66" s="48">
        <v>1.0938800000000002</v>
      </c>
      <c r="R66" s="48">
        <v>1.0938800000000002</v>
      </c>
      <c r="S66" s="48">
        <v>1.0938800000000002</v>
      </c>
      <c r="T66" s="48">
        <v>1.0938800000000002</v>
      </c>
      <c r="U66" s="48">
        <v>1.0938800000000002</v>
      </c>
      <c r="V66" s="48">
        <v>1.0938800000000002</v>
      </c>
      <c r="W66" s="48">
        <v>1.0938800000000002</v>
      </c>
      <c r="X66" s="48">
        <v>1.0938800000000002</v>
      </c>
      <c r="Y66" s="48">
        <v>1.0938800000000002</v>
      </c>
      <c r="Z66" s="48">
        <v>1.0938800000000002</v>
      </c>
      <c r="AA66" s="48">
        <v>1.0938800000000002</v>
      </c>
      <c r="AB66" s="48">
        <v>1.0938800000000002</v>
      </c>
      <c r="AC66" s="48">
        <v>1.0938800000000002</v>
      </c>
      <c r="AD66" s="48">
        <v>1.0938800000000002</v>
      </c>
      <c r="AE66" s="48">
        <v>1.0938800000000002</v>
      </c>
      <c r="AF66" s="48">
        <v>1.0938800000000002</v>
      </c>
      <c r="AG66" s="48">
        <v>1.0938800000000002</v>
      </c>
      <c r="AH66" s="48">
        <v>1.0938800000000002</v>
      </c>
      <c r="AI66" s="48">
        <v>1.0938800000000002</v>
      </c>
      <c r="AJ66" s="48">
        <v>1.0938800000000002</v>
      </c>
      <c r="AK66" s="48">
        <v>1.0938800000000002</v>
      </c>
      <c r="AL66" s="48">
        <v>1.0938800000000002</v>
      </c>
      <c r="AM66" s="48">
        <v>1.0938800000000002</v>
      </c>
      <c r="AN66" s="48">
        <v>1.0938800000000002</v>
      </c>
      <c r="AO66" s="48">
        <v>1.0938800000000002</v>
      </c>
      <c r="AP66" s="48">
        <v>1.0938800000000002</v>
      </c>
    </row>
    <row r="67" spans="1:42" x14ac:dyDescent="0.3">
      <c r="A67" s="48">
        <v>7</v>
      </c>
      <c r="B67" s="48" t="s">
        <v>75</v>
      </c>
      <c r="C67" s="48" t="s">
        <v>76</v>
      </c>
      <c r="D67" s="48">
        <v>6</v>
      </c>
      <c r="E67" s="48" t="s">
        <v>341</v>
      </c>
      <c r="F67" s="48"/>
      <c r="G67" s="48" t="s">
        <v>334</v>
      </c>
      <c r="H67" s="48"/>
      <c r="I67" s="48">
        <v>0</v>
      </c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</row>
    <row r="68" spans="1:42" x14ac:dyDescent="0.3">
      <c r="A68" s="48">
        <v>7</v>
      </c>
      <c r="B68" s="48" t="s">
        <v>75</v>
      </c>
      <c r="C68" s="48" t="s">
        <v>76</v>
      </c>
      <c r="D68" s="48">
        <v>7</v>
      </c>
      <c r="E68" s="48" t="s">
        <v>343</v>
      </c>
      <c r="F68" s="48" t="s">
        <v>342</v>
      </c>
      <c r="G68" s="48" t="s">
        <v>338</v>
      </c>
      <c r="H68" s="48" t="s">
        <v>429</v>
      </c>
      <c r="I68" s="48">
        <v>0</v>
      </c>
      <c r="J68" s="48">
        <v>7.250708519999999</v>
      </c>
      <c r="K68" s="48">
        <v>12.915472679999997</v>
      </c>
      <c r="L68" s="48">
        <v>23.346428137956</v>
      </c>
      <c r="M68" s="48">
        <v>23.504579999999997</v>
      </c>
      <c r="N68" s="127">
        <v>24.431091641025642</v>
      </c>
      <c r="O68" s="48">
        <v>26.444879999999998</v>
      </c>
      <c r="P68" s="48">
        <v>26.444879999999998</v>
      </c>
      <c r="Q68" s="48">
        <v>26.444879999999998</v>
      </c>
      <c r="R68" s="48">
        <v>26.444879999999998</v>
      </c>
      <c r="S68" s="48">
        <v>26.444879999999998</v>
      </c>
      <c r="T68" s="48">
        <v>26.444879999999998</v>
      </c>
      <c r="U68" s="48">
        <v>26.444879999999998</v>
      </c>
      <c r="V68" s="48">
        <v>26.444879999999998</v>
      </c>
      <c r="W68" s="48">
        <v>26.444879999999998</v>
      </c>
      <c r="X68" s="48">
        <v>26.444879999999998</v>
      </c>
      <c r="Y68" s="48">
        <v>26.444879999999998</v>
      </c>
      <c r="Z68" s="48">
        <v>26.444879999999998</v>
      </c>
      <c r="AA68" s="48">
        <v>26.444879999999998</v>
      </c>
      <c r="AB68" s="48">
        <v>26.444879999999998</v>
      </c>
      <c r="AC68" s="48">
        <v>26.444879999999998</v>
      </c>
      <c r="AD68" s="48">
        <v>26.444879999999998</v>
      </c>
      <c r="AE68" s="48">
        <v>26.444879999999998</v>
      </c>
      <c r="AF68" s="48">
        <v>26.444879999999998</v>
      </c>
      <c r="AG68" s="48">
        <v>26.444879999999998</v>
      </c>
      <c r="AH68" s="48">
        <v>26.444879999999998</v>
      </c>
      <c r="AI68" s="48">
        <v>26.444879999999998</v>
      </c>
      <c r="AJ68" s="48">
        <v>26.444879999999998</v>
      </c>
      <c r="AK68" s="48">
        <v>26.444879999999998</v>
      </c>
      <c r="AL68" s="48">
        <v>26.444879999999998</v>
      </c>
      <c r="AM68" s="48">
        <v>26.444879999999998</v>
      </c>
      <c r="AN68" s="48">
        <v>26.444879999999998</v>
      </c>
      <c r="AO68" s="48">
        <v>26.444879999999998</v>
      </c>
      <c r="AP68" s="48">
        <v>26.444879999999998</v>
      </c>
    </row>
    <row r="69" spans="1:42" x14ac:dyDescent="0.3">
      <c r="A69" s="48">
        <v>7</v>
      </c>
      <c r="B69" s="48" t="s">
        <v>75</v>
      </c>
      <c r="C69" s="48" t="s">
        <v>76</v>
      </c>
      <c r="D69" s="48">
        <v>8</v>
      </c>
      <c r="E69" s="48" t="s">
        <v>344</v>
      </c>
      <c r="F69" s="48" t="s">
        <v>352</v>
      </c>
      <c r="G69" s="48" t="s">
        <v>334</v>
      </c>
      <c r="H69" s="48"/>
      <c r="I69" s="48">
        <v>0</v>
      </c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</row>
    <row r="70" spans="1:42" x14ac:dyDescent="0.3">
      <c r="A70" s="48">
        <v>7</v>
      </c>
      <c r="B70" s="48" t="s">
        <v>75</v>
      </c>
      <c r="C70" s="48" t="s">
        <v>76</v>
      </c>
      <c r="D70" s="48">
        <v>9</v>
      </c>
      <c r="E70" s="48" t="s">
        <v>345</v>
      </c>
      <c r="F70" s="48" t="s">
        <v>353</v>
      </c>
      <c r="G70" s="48" t="s">
        <v>338</v>
      </c>
      <c r="H70" s="48" t="s">
        <v>429</v>
      </c>
      <c r="I70" s="48">
        <v>0</v>
      </c>
      <c r="J70" s="50">
        <v>0.74436175506380986</v>
      </c>
      <c r="K70" s="48">
        <v>0.37818195859155562</v>
      </c>
      <c r="L70" s="48">
        <v>0.68361399834800352</v>
      </c>
      <c r="M70" s="48">
        <v>0.68824174614997857</v>
      </c>
      <c r="N70" s="127">
        <v>0.72267080173814258</v>
      </c>
      <c r="O70" s="48">
        <v>0.77433718823848996</v>
      </c>
      <c r="P70" s="48">
        <v>0.77433718823848996</v>
      </c>
      <c r="Q70" s="48">
        <v>0.77433718823848996</v>
      </c>
      <c r="R70" s="48">
        <v>0.77433718823848996</v>
      </c>
      <c r="S70" s="48">
        <v>0.77433718823848996</v>
      </c>
      <c r="T70" s="48">
        <v>0.77433718823848996</v>
      </c>
      <c r="U70" s="48">
        <v>0.77433718823848996</v>
      </c>
      <c r="V70" s="48">
        <v>0.77433718823848996</v>
      </c>
      <c r="W70" s="48">
        <v>0.77433718823848996</v>
      </c>
      <c r="X70" s="48">
        <v>0.77433718823848996</v>
      </c>
      <c r="Y70" s="48">
        <v>0.77433718823848996</v>
      </c>
      <c r="Z70" s="48">
        <v>0.77433718823848996</v>
      </c>
      <c r="AA70" s="48">
        <v>0.77433718823848996</v>
      </c>
      <c r="AB70" s="48">
        <v>0.77433718823848996</v>
      </c>
      <c r="AC70" s="48">
        <v>0.77433718823848996</v>
      </c>
      <c r="AD70" s="48">
        <v>0.77433718823848996</v>
      </c>
      <c r="AE70" s="48">
        <v>0.77433718823848996</v>
      </c>
      <c r="AF70" s="48">
        <v>0.77433718823848996</v>
      </c>
      <c r="AG70" s="48">
        <v>0.77433718823848996</v>
      </c>
      <c r="AH70" s="48">
        <v>0.77433718823848996</v>
      </c>
      <c r="AI70" s="48">
        <v>0.77433718823848996</v>
      </c>
      <c r="AJ70" s="48">
        <v>0.77433718823848996</v>
      </c>
      <c r="AK70" s="48">
        <v>0.77433718823848996</v>
      </c>
      <c r="AL70" s="48">
        <v>0.77433718823848996</v>
      </c>
      <c r="AM70" s="48">
        <v>0.77433718823848996</v>
      </c>
      <c r="AN70" s="48">
        <v>0.77433718823848996</v>
      </c>
      <c r="AO70" s="48">
        <v>0.77433718823848996</v>
      </c>
      <c r="AP70" s="48">
        <v>0.77433718823848996</v>
      </c>
    </row>
    <row r="71" spans="1:42" x14ac:dyDescent="0.3">
      <c r="A71" s="48">
        <v>7</v>
      </c>
      <c r="B71" s="48" t="s">
        <v>75</v>
      </c>
      <c r="C71" s="48" t="s">
        <v>76</v>
      </c>
      <c r="D71" s="48">
        <v>10</v>
      </c>
      <c r="E71" s="48" t="s">
        <v>346</v>
      </c>
      <c r="F71" s="48" t="s">
        <v>353</v>
      </c>
      <c r="G71" s="48" t="s">
        <v>350</v>
      </c>
      <c r="H71" s="48"/>
      <c r="I71" s="48">
        <v>0</v>
      </c>
      <c r="J71" s="50">
        <v>1</v>
      </c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</row>
    <row r="72" spans="1:42" x14ac:dyDescent="0.3">
      <c r="A72" s="2">
        <v>8</v>
      </c>
      <c r="B72" s="2" t="s">
        <v>77</v>
      </c>
      <c r="C72" s="2" t="s">
        <v>78</v>
      </c>
      <c r="D72" s="2">
        <v>1</v>
      </c>
      <c r="E72" s="2" t="s">
        <v>333</v>
      </c>
      <c r="F72" s="2" t="s">
        <v>349</v>
      </c>
      <c r="G72" s="2" t="s">
        <v>350</v>
      </c>
      <c r="H72" s="2" t="s">
        <v>439</v>
      </c>
      <c r="I72" s="2">
        <v>0</v>
      </c>
      <c r="J72" s="2">
        <v>1100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1:42" x14ac:dyDescent="0.3">
      <c r="A73" s="2">
        <v>8</v>
      </c>
      <c r="B73" s="2" t="s">
        <v>77</v>
      </c>
      <c r="C73" s="2" t="s">
        <v>78</v>
      </c>
      <c r="D73" s="2">
        <v>2</v>
      </c>
      <c r="E73" s="2" t="s">
        <v>335</v>
      </c>
      <c r="F73" s="2" t="s">
        <v>349</v>
      </c>
      <c r="G73" s="2" t="s">
        <v>350</v>
      </c>
      <c r="H73" s="2" t="s">
        <v>439</v>
      </c>
      <c r="I73" s="2">
        <v>0</v>
      </c>
      <c r="J73" s="2">
        <v>35.159999999999997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1:42" x14ac:dyDescent="0.3">
      <c r="A74" s="2">
        <v>8</v>
      </c>
      <c r="B74" s="2" t="s">
        <v>77</v>
      </c>
      <c r="C74" s="2" t="s">
        <v>78</v>
      </c>
      <c r="D74" s="2">
        <v>3</v>
      </c>
      <c r="E74" s="2" t="s">
        <v>336</v>
      </c>
      <c r="F74" s="2" t="s">
        <v>337</v>
      </c>
      <c r="G74" s="2" t="s">
        <v>350</v>
      </c>
      <c r="H74" s="2" t="s">
        <v>439</v>
      </c>
      <c r="I74" s="2">
        <v>0</v>
      </c>
      <c r="J74" s="2">
        <v>3.1767241379310343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1:42" x14ac:dyDescent="0.3">
      <c r="A75" s="2">
        <v>8</v>
      </c>
      <c r="B75" s="2" t="s">
        <v>77</v>
      </c>
      <c r="C75" s="2" t="s">
        <v>78</v>
      </c>
      <c r="D75" s="2">
        <v>4</v>
      </c>
      <c r="E75" s="2" t="s">
        <v>339</v>
      </c>
      <c r="F75" s="2" t="s">
        <v>352</v>
      </c>
      <c r="G75" s="2" t="s">
        <v>338</v>
      </c>
      <c r="H75" s="2" t="s">
        <v>438</v>
      </c>
      <c r="I75" s="2">
        <v>0</v>
      </c>
      <c r="J75" s="6">
        <v>0.40189999999999998</v>
      </c>
      <c r="K75" s="2">
        <v>0.4</v>
      </c>
      <c r="L75" s="2">
        <v>0.13300000000000001</v>
      </c>
      <c r="M75" s="2">
        <v>0.13300000000000001</v>
      </c>
      <c r="N75" s="2">
        <v>0.13300000000000001</v>
      </c>
      <c r="O75" s="2">
        <v>0.13300000000000001</v>
      </c>
      <c r="P75" s="2">
        <v>0.13300000000000001</v>
      </c>
      <c r="Q75" s="2">
        <v>0.13300000000000001</v>
      </c>
      <c r="R75" s="2">
        <v>0.13300000000000001</v>
      </c>
      <c r="S75" s="2">
        <v>0.13300000000000001</v>
      </c>
      <c r="T75" s="2">
        <v>0.13300000000000001</v>
      </c>
      <c r="U75" s="2">
        <v>0.13300000000000001</v>
      </c>
      <c r="V75" s="2">
        <v>0.13300000000000001</v>
      </c>
      <c r="W75" s="2">
        <v>0.13300000000000001</v>
      </c>
      <c r="X75" s="2">
        <v>0.13300000000000001</v>
      </c>
      <c r="Y75" s="2">
        <v>0.13300000000000001</v>
      </c>
      <c r="Z75" s="2">
        <v>0.13300000000000001</v>
      </c>
      <c r="AA75" s="2">
        <v>0.13300000000000001</v>
      </c>
      <c r="AB75" s="2">
        <v>0.13300000000000001</v>
      </c>
      <c r="AC75" s="2">
        <v>0.13300000000000001</v>
      </c>
      <c r="AD75" s="2">
        <v>0.13300000000000001</v>
      </c>
      <c r="AE75" s="2">
        <v>0.13300000000000001</v>
      </c>
      <c r="AF75" s="2">
        <v>0.13300000000000001</v>
      </c>
      <c r="AG75" s="2">
        <v>0.13300000000000001</v>
      </c>
      <c r="AH75" s="2">
        <v>0.13300000000000001</v>
      </c>
      <c r="AI75" s="2">
        <v>0.13300000000000001</v>
      </c>
      <c r="AJ75" s="2">
        <v>0.13300000000000001</v>
      </c>
      <c r="AK75" s="2">
        <v>0.13300000000000001</v>
      </c>
      <c r="AL75" s="2">
        <v>0.13300000000000001</v>
      </c>
      <c r="AM75" s="2">
        <v>0.13300000000000001</v>
      </c>
      <c r="AN75" s="2">
        <v>0.13300000000000001</v>
      </c>
      <c r="AO75" s="2">
        <v>0.13300000000000001</v>
      </c>
      <c r="AP75" s="2">
        <v>0.13300000000000001</v>
      </c>
    </row>
    <row r="76" spans="1:42" x14ac:dyDescent="0.3">
      <c r="A76" s="2">
        <v>8</v>
      </c>
      <c r="B76" s="2" t="s">
        <v>77</v>
      </c>
      <c r="C76" s="2" t="s">
        <v>78</v>
      </c>
      <c r="D76" s="2">
        <v>5</v>
      </c>
      <c r="E76" s="2" t="s">
        <v>340</v>
      </c>
      <c r="F76" s="2" t="s">
        <v>352</v>
      </c>
      <c r="G76" s="2" t="s">
        <v>338</v>
      </c>
      <c r="H76" s="2" t="s">
        <v>438</v>
      </c>
      <c r="I76" s="2">
        <v>0</v>
      </c>
      <c r="J76" s="6">
        <v>0.40189999999999998</v>
      </c>
      <c r="K76" s="2">
        <v>0.4</v>
      </c>
      <c r="L76" s="2">
        <v>0.13300000000000001</v>
      </c>
      <c r="M76" s="2">
        <v>0.13300000000000001</v>
      </c>
      <c r="N76" s="2">
        <v>0.13300000000000001</v>
      </c>
      <c r="O76" s="2">
        <v>0.13300000000000001</v>
      </c>
      <c r="P76" s="2">
        <f>O76</f>
        <v>0.13300000000000001</v>
      </c>
      <c r="Q76" s="2">
        <f t="shared" ref="Q76:AP76" si="2">P76</f>
        <v>0.13300000000000001</v>
      </c>
      <c r="R76" s="2">
        <f t="shared" si="2"/>
        <v>0.13300000000000001</v>
      </c>
      <c r="S76" s="2">
        <f t="shared" si="2"/>
        <v>0.13300000000000001</v>
      </c>
      <c r="T76" s="2">
        <f t="shared" si="2"/>
        <v>0.13300000000000001</v>
      </c>
      <c r="U76" s="2">
        <f t="shared" si="2"/>
        <v>0.13300000000000001</v>
      </c>
      <c r="V76" s="2">
        <f t="shared" si="2"/>
        <v>0.13300000000000001</v>
      </c>
      <c r="W76" s="2">
        <f t="shared" si="2"/>
        <v>0.13300000000000001</v>
      </c>
      <c r="X76" s="2">
        <f t="shared" si="2"/>
        <v>0.13300000000000001</v>
      </c>
      <c r="Y76" s="2">
        <f t="shared" si="2"/>
        <v>0.13300000000000001</v>
      </c>
      <c r="Z76" s="2">
        <f t="shared" si="2"/>
        <v>0.13300000000000001</v>
      </c>
      <c r="AA76" s="2">
        <f t="shared" si="2"/>
        <v>0.13300000000000001</v>
      </c>
      <c r="AB76" s="2">
        <f t="shared" si="2"/>
        <v>0.13300000000000001</v>
      </c>
      <c r="AC76" s="2">
        <f t="shared" si="2"/>
        <v>0.13300000000000001</v>
      </c>
      <c r="AD76" s="2">
        <f t="shared" si="2"/>
        <v>0.13300000000000001</v>
      </c>
      <c r="AE76" s="2">
        <f t="shared" si="2"/>
        <v>0.13300000000000001</v>
      </c>
      <c r="AF76" s="2">
        <f t="shared" si="2"/>
        <v>0.13300000000000001</v>
      </c>
      <c r="AG76" s="2">
        <f t="shared" si="2"/>
        <v>0.13300000000000001</v>
      </c>
      <c r="AH76" s="2">
        <f t="shared" si="2"/>
        <v>0.13300000000000001</v>
      </c>
      <c r="AI76" s="2">
        <f t="shared" si="2"/>
        <v>0.13300000000000001</v>
      </c>
      <c r="AJ76" s="2">
        <f t="shared" si="2"/>
        <v>0.13300000000000001</v>
      </c>
      <c r="AK76" s="2">
        <f t="shared" si="2"/>
        <v>0.13300000000000001</v>
      </c>
      <c r="AL76" s="2">
        <f t="shared" si="2"/>
        <v>0.13300000000000001</v>
      </c>
      <c r="AM76" s="2">
        <f t="shared" si="2"/>
        <v>0.13300000000000001</v>
      </c>
      <c r="AN76" s="2">
        <f t="shared" si="2"/>
        <v>0.13300000000000001</v>
      </c>
      <c r="AO76" s="2">
        <f t="shared" si="2"/>
        <v>0.13300000000000001</v>
      </c>
      <c r="AP76" s="2">
        <f t="shared" si="2"/>
        <v>0.13300000000000001</v>
      </c>
    </row>
    <row r="77" spans="1:42" x14ac:dyDescent="0.3">
      <c r="A77" s="2">
        <v>8</v>
      </c>
      <c r="B77" s="2" t="s">
        <v>77</v>
      </c>
      <c r="C77" s="2" t="s">
        <v>78</v>
      </c>
      <c r="D77" s="2">
        <v>6</v>
      </c>
      <c r="E77" s="2" t="s">
        <v>341</v>
      </c>
      <c r="F77" s="2"/>
      <c r="G77" s="2" t="s">
        <v>334</v>
      </c>
      <c r="H77" s="2"/>
      <c r="I77" s="2">
        <v>0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1:42" x14ac:dyDescent="0.3">
      <c r="A78" s="2">
        <v>8</v>
      </c>
      <c r="B78" s="2" t="s">
        <v>77</v>
      </c>
      <c r="C78" s="2" t="s">
        <v>78</v>
      </c>
      <c r="D78" s="2">
        <v>7</v>
      </c>
      <c r="E78" s="2" t="s">
        <v>343</v>
      </c>
      <c r="F78" s="2" t="s">
        <v>342</v>
      </c>
      <c r="G78" s="2" t="s">
        <v>338</v>
      </c>
      <c r="H78" s="2" t="s">
        <v>429</v>
      </c>
      <c r="I78" s="2">
        <v>0</v>
      </c>
      <c r="J78" s="2">
        <v>0</v>
      </c>
      <c r="K78" s="2">
        <v>0</v>
      </c>
      <c r="L78" s="2">
        <v>0.60545119284719995</v>
      </c>
      <c r="M78" s="2">
        <v>0.32167792439999998</v>
      </c>
      <c r="N78" s="127">
        <v>0.11711642128022759</v>
      </c>
      <c r="O78" s="2">
        <v>0.30224376000000003</v>
      </c>
      <c r="P78" s="2">
        <f>P76*P80*8760*0.0036*1*0.98</f>
        <v>0.30224376000000003</v>
      </c>
      <c r="Q78" s="2">
        <f t="shared" ref="Q78:AP78" si="3">Q76*Q80*8760*0.0036*1*0.98</f>
        <v>0.30224376000000003</v>
      </c>
      <c r="R78" s="2">
        <f t="shared" si="3"/>
        <v>0.30224376000000003</v>
      </c>
      <c r="S78" s="2">
        <f t="shared" si="3"/>
        <v>0.30224376000000003</v>
      </c>
      <c r="T78" s="2">
        <f t="shared" si="3"/>
        <v>0.30224376000000003</v>
      </c>
      <c r="U78" s="2">
        <f t="shared" si="3"/>
        <v>0.30224376000000003</v>
      </c>
      <c r="V78" s="2">
        <f t="shared" si="3"/>
        <v>0.30224376000000003</v>
      </c>
      <c r="W78" s="2">
        <f t="shared" si="3"/>
        <v>0.30224376000000003</v>
      </c>
      <c r="X78" s="2">
        <f t="shared" si="3"/>
        <v>0.30224376000000003</v>
      </c>
      <c r="Y78" s="2">
        <f t="shared" si="3"/>
        <v>0.30224376000000003</v>
      </c>
      <c r="Z78" s="2">
        <f t="shared" si="3"/>
        <v>0.30224376000000003</v>
      </c>
      <c r="AA78" s="2">
        <f t="shared" si="3"/>
        <v>0.30224376000000003</v>
      </c>
      <c r="AB78" s="2">
        <f t="shared" si="3"/>
        <v>0.30224376000000003</v>
      </c>
      <c r="AC78" s="2">
        <f t="shared" si="3"/>
        <v>0.30224376000000003</v>
      </c>
      <c r="AD78" s="2">
        <f t="shared" si="3"/>
        <v>0.30224376000000003</v>
      </c>
      <c r="AE78" s="2">
        <f t="shared" si="3"/>
        <v>0.30224376000000003</v>
      </c>
      <c r="AF78" s="2">
        <f t="shared" si="3"/>
        <v>0.30224376000000003</v>
      </c>
      <c r="AG78" s="2">
        <f t="shared" si="3"/>
        <v>0.30224376000000003</v>
      </c>
      <c r="AH78" s="2">
        <f t="shared" si="3"/>
        <v>0.30224376000000003</v>
      </c>
      <c r="AI78" s="2">
        <f t="shared" si="3"/>
        <v>0.30224376000000003</v>
      </c>
      <c r="AJ78" s="2">
        <f t="shared" si="3"/>
        <v>0.30224376000000003</v>
      </c>
      <c r="AK78" s="2">
        <f t="shared" si="3"/>
        <v>0.30224376000000003</v>
      </c>
      <c r="AL78" s="2">
        <f t="shared" si="3"/>
        <v>0.30224376000000003</v>
      </c>
      <c r="AM78" s="2">
        <f t="shared" si="3"/>
        <v>0.30224376000000003</v>
      </c>
      <c r="AN78" s="2">
        <f t="shared" si="3"/>
        <v>0.30224376000000003</v>
      </c>
      <c r="AO78" s="2">
        <f t="shared" si="3"/>
        <v>0.30224376000000003</v>
      </c>
      <c r="AP78" s="2">
        <f t="shared" si="3"/>
        <v>0.30224376000000003</v>
      </c>
    </row>
    <row r="79" spans="1:42" x14ac:dyDescent="0.3">
      <c r="A79" s="2">
        <v>8</v>
      </c>
      <c r="B79" s="2" t="s">
        <v>77</v>
      </c>
      <c r="C79" s="2" t="s">
        <v>78</v>
      </c>
      <c r="D79" s="2">
        <v>8</v>
      </c>
      <c r="E79" s="2" t="s">
        <v>344</v>
      </c>
      <c r="F79" s="2" t="s">
        <v>352</v>
      </c>
      <c r="G79" s="2" t="s">
        <v>334</v>
      </c>
      <c r="H79" s="2"/>
      <c r="I79" s="2">
        <v>0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1:42" x14ac:dyDescent="0.3">
      <c r="A80" s="2">
        <v>8</v>
      </c>
      <c r="B80" s="2" t="s">
        <v>77</v>
      </c>
      <c r="C80" s="2" t="s">
        <v>78</v>
      </c>
      <c r="D80" s="2">
        <v>9</v>
      </c>
      <c r="E80" s="2" t="s">
        <v>345</v>
      </c>
      <c r="F80" s="2" t="s">
        <v>353</v>
      </c>
      <c r="G80" s="2" t="s">
        <v>338</v>
      </c>
      <c r="H80" s="2" t="s">
        <v>429</v>
      </c>
      <c r="I80" s="2">
        <v>0</v>
      </c>
      <c r="J80" s="6">
        <v>0</v>
      </c>
      <c r="K80" s="2">
        <v>0</v>
      </c>
      <c r="L80" s="2">
        <v>0.1472973099701308</v>
      </c>
      <c r="M80" s="2">
        <v>7.8259475744154899E-2</v>
      </c>
      <c r="N80" s="127">
        <v>2.8492691090064116E-2</v>
      </c>
      <c r="O80" s="2">
        <v>7.3531431318021076E-2</v>
      </c>
      <c r="P80" s="2">
        <v>7.3531431318021076E-2</v>
      </c>
      <c r="Q80" s="2">
        <v>7.3531431318021076E-2</v>
      </c>
      <c r="R80" s="2">
        <v>7.3531431318021076E-2</v>
      </c>
      <c r="S80" s="2">
        <v>7.3531431318021076E-2</v>
      </c>
      <c r="T80" s="2">
        <v>7.3531431318021076E-2</v>
      </c>
      <c r="U80" s="2">
        <v>7.3531431318021076E-2</v>
      </c>
      <c r="V80" s="2">
        <v>7.3531431318021076E-2</v>
      </c>
      <c r="W80" s="2">
        <v>7.3531431318021076E-2</v>
      </c>
      <c r="X80" s="2">
        <v>7.3531431318021076E-2</v>
      </c>
      <c r="Y80" s="2">
        <v>7.3531431318021076E-2</v>
      </c>
      <c r="Z80" s="2">
        <v>7.3531431318021076E-2</v>
      </c>
      <c r="AA80" s="2">
        <v>7.3531431318021076E-2</v>
      </c>
      <c r="AB80" s="2">
        <v>7.3531431318021076E-2</v>
      </c>
      <c r="AC80" s="2">
        <v>7.3531431318021076E-2</v>
      </c>
      <c r="AD80" s="2">
        <v>7.3531431318021076E-2</v>
      </c>
      <c r="AE80" s="2">
        <v>7.3531431318021076E-2</v>
      </c>
      <c r="AF80" s="2">
        <v>7.3531431318021076E-2</v>
      </c>
      <c r="AG80" s="2">
        <v>7.3531431318021076E-2</v>
      </c>
      <c r="AH80" s="2">
        <v>7.3531431318021076E-2</v>
      </c>
      <c r="AI80" s="2">
        <v>7.3531431318021076E-2</v>
      </c>
      <c r="AJ80" s="2">
        <v>7.3531431318021076E-2</v>
      </c>
      <c r="AK80" s="2">
        <v>7.3531431318021076E-2</v>
      </c>
      <c r="AL80" s="2">
        <v>7.3531431318021076E-2</v>
      </c>
      <c r="AM80" s="2">
        <v>7.3531431318021076E-2</v>
      </c>
      <c r="AN80" s="2">
        <v>7.3531431318021076E-2</v>
      </c>
      <c r="AO80" s="2">
        <v>7.3531431318021076E-2</v>
      </c>
      <c r="AP80" s="2">
        <v>7.3531431318021076E-2</v>
      </c>
    </row>
    <row r="81" spans="1:42" x14ac:dyDescent="0.3">
      <c r="A81" s="2">
        <v>8</v>
      </c>
      <c r="B81" s="2" t="s">
        <v>77</v>
      </c>
      <c r="C81" s="2" t="s">
        <v>78</v>
      </c>
      <c r="D81" s="2">
        <v>10</v>
      </c>
      <c r="E81" s="2" t="s">
        <v>346</v>
      </c>
      <c r="F81" s="2" t="s">
        <v>353</v>
      </c>
      <c r="G81" s="2" t="s">
        <v>350</v>
      </c>
      <c r="H81" s="2"/>
      <c r="I81" s="2">
        <v>0</v>
      </c>
      <c r="J81" s="6">
        <v>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x14ac:dyDescent="0.3">
      <c r="A82" s="48">
        <v>9</v>
      </c>
      <c r="B82" s="48" t="s">
        <v>79</v>
      </c>
      <c r="C82" s="48" t="s">
        <v>80</v>
      </c>
      <c r="D82" s="48">
        <v>1</v>
      </c>
      <c r="E82" s="48" t="s">
        <v>333</v>
      </c>
      <c r="F82" s="48" t="s">
        <v>349</v>
      </c>
      <c r="G82" s="48" t="s">
        <v>350</v>
      </c>
      <c r="H82" s="48" t="s">
        <v>439</v>
      </c>
      <c r="I82" s="48">
        <v>0</v>
      </c>
      <c r="J82" s="48">
        <v>1100</v>
      </c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</row>
    <row r="83" spans="1:42" x14ac:dyDescent="0.3">
      <c r="A83" s="48">
        <v>9</v>
      </c>
      <c r="B83" s="48" t="s">
        <v>79</v>
      </c>
      <c r="C83" s="48" t="s">
        <v>80</v>
      </c>
      <c r="D83" s="48">
        <v>2</v>
      </c>
      <c r="E83" s="48" t="s">
        <v>335</v>
      </c>
      <c r="F83" s="48" t="s">
        <v>337</v>
      </c>
      <c r="G83" s="48" t="s">
        <v>350</v>
      </c>
      <c r="H83" s="48" t="s">
        <v>439</v>
      </c>
      <c r="I83" s="48">
        <v>0</v>
      </c>
      <c r="J83" s="48">
        <v>2.2857769132922989</v>
      </c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</row>
    <row r="84" spans="1:42" x14ac:dyDescent="0.3">
      <c r="A84" s="48">
        <v>9</v>
      </c>
      <c r="B84" s="48" t="s">
        <v>79</v>
      </c>
      <c r="C84" s="48" t="s">
        <v>80</v>
      </c>
      <c r="D84" s="48">
        <v>3</v>
      </c>
      <c r="E84" s="48" t="s">
        <v>336</v>
      </c>
      <c r="F84" s="48" t="s">
        <v>351</v>
      </c>
      <c r="G84" s="48" t="s">
        <v>338</v>
      </c>
      <c r="H84" s="48" t="s">
        <v>439</v>
      </c>
      <c r="I84" s="48">
        <v>0</v>
      </c>
      <c r="J84" s="48">
        <v>9.5793415516438982E-2</v>
      </c>
      <c r="K84" s="48">
        <v>8.2357798416132083E-2</v>
      </c>
      <c r="L84" s="48">
        <v>0.10776745922936624</v>
      </c>
      <c r="M84" s="48">
        <v>0.14272487940207387</v>
      </c>
      <c r="N84" s="48">
        <v>0.13272455749042283</v>
      </c>
      <c r="O84" s="48">
        <v>0.12446363727075015</v>
      </c>
      <c r="P84" s="48">
        <v>0.11828135769076784</v>
      </c>
      <c r="Q84" s="48">
        <v>0.11371505357583511</v>
      </c>
      <c r="R84" s="48">
        <v>0.1101746591959754</v>
      </c>
      <c r="S84" s="48">
        <v>0.1161402638930079</v>
      </c>
      <c r="T84" s="48">
        <v>0.12210586859004041</v>
      </c>
      <c r="U84" s="48">
        <v>0.12807147328707291</v>
      </c>
      <c r="V84" s="48">
        <v>0.12908667398995824</v>
      </c>
      <c r="W84" s="48">
        <v>0.13010187469284357</v>
      </c>
      <c r="X84" s="48">
        <v>0.13111707539572887</v>
      </c>
      <c r="Y84" s="48">
        <v>0.13213227609861422</v>
      </c>
      <c r="Z84" s="48">
        <v>0.13314747680149955</v>
      </c>
      <c r="AA84" s="48">
        <v>0.13416267750438485</v>
      </c>
      <c r="AB84" s="48">
        <v>0.1351778782072702</v>
      </c>
      <c r="AC84" s="48">
        <v>0.1361930789101555</v>
      </c>
      <c r="AD84" s="48">
        <v>0.13720827961304086</v>
      </c>
      <c r="AE84" s="48">
        <v>0.13822348031592616</v>
      </c>
      <c r="AF84" s="48">
        <v>0.13923868101881151</v>
      </c>
      <c r="AG84" s="48">
        <v>0.14025388172169681</v>
      </c>
      <c r="AH84" s="48">
        <v>0.14126908242458214</v>
      </c>
      <c r="AI84" s="48">
        <v>0.14228428312746746</v>
      </c>
      <c r="AJ84" s="48">
        <v>0.14329948383035279</v>
      </c>
      <c r="AK84" s="48">
        <v>0.14431468453323812</v>
      </c>
      <c r="AL84" s="48">
        <v>0.14532988523612342</v>
      </c>
      <c r="AM84" s="48">
        <v>0.14634508593900875</v>
      </c>
      <c r="AN84" s="48">
        <v>0.14736028664189407</v>
      </c>
      <c r="AO84" s="48">
        <v>0.14837548734477959</v>
      </c>
      <c r="AP84" s="48">
        <v>0.14837548734477959</v>
      </c>
    </row>
    <row r="85" spans="1:42" x14ac:dyDescent="0.3">
      <c r="A85" s="48">
        <v>9</v>
      </c>
      <c r="B85" s="48" t="s">
        <v>79</v>
      </c>
      <c r="C85" s="48" t="s">
        <v>80</v>
      </c>
      <c r="D85" s="48">
        <v>4</v>
      </c>
      <c r="E85" s="48" t="s">
        <v>339</v>
      </c>
      <c r="F85" s="48" t="s">
        <v>352</v>
      </c>
      <c r="G85" s="48" t="s">
        <v>338</v>
      </c>
      <c r="H85" s="48" t="s">
        <v>438</v>
      </c>
      <c r="I85" s="48">
        <v>0</v>
      </c>
      <c r="J85" s="50">
        <v>0.185</v>
      </c>
      <c r="K85" s="48">
        <v>0.185</v>
      </c>
      <c r="L85" s="48">
        <v>0.185</v>
      </c>
      <c r="M85" s="48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v>0</v>
      </c>
      <c r="Y85" s="48">
        <v>0</v>
      </c>
      <c r="Z85" s="48">
        <v>0</v>
      </c>
      <c r="AA85" s="48">
        <v>0</v>
      </c>
      <c r="AB85" s="48">
        <v>0</v>
      </c>
      <c r="AC85" s="48">
        <v>0</v>
      </c>
      <c r="AD85" s="48">
        <v>0</v>
      </c>
      <c r="AE85" s="48">
        <v>0</v>
      </c>
      <c r="AF85" s="48">
        <v>0</v>
      </c>
      <c r="AG85" s="48">
        <v>0</v>
      </c>
      <c r="AH85" s="48">
        <v>0</v>
      </c>
      <c r="AI85" s="48">
        <v>0</v>
      </c>
      <c r="AJ85" s="48">
        <v>0</v>
      </c>
      <c r="AK85" s="48">
        <v>0</v>
      </c>
      <c r="AL85" s="48">
        <v>0</v>
      </c>
      <c r="AM85" s="48">
        <v>0</v>
      </c>
      <c r="AN85" s="48">
        <v>0</v>
      </c>
      <c r="AO85" s="48">
        <v>0</v>
      </c>
      <c r="AP85" s="48">
        <v>0</v>
      </c>
    </row>
    <row r="86" spans="1:42" x14ac:dyDescent="0.3">
      <c r="A86" s="48">
        <v>9</v>
      </c>
      <c r="B86" s="48" t="s">
        <v>79</v>
      </c>
      <c r="C86" s="48" t="s">
        <v>80</v>
      </c>
      <c r="D86" s="48">
        <v>5</v>
      </c>
      <c r="E86" s="48" t="s">
        <v>340</v>
      </c>
      <c r="F86" s="48" t="s">
        <v>352</v>
      </c>
      <c r="G86" s="48" t="s">
        <v>338</v>
      </c>
      <c r="H86" s="48" t="s">
        <v>438</v>
      </c>
      <c r="I86" s="48">
        <v>0</v>
      </c>
      <c r="J86" s="50">
        <v>0.185</v>
      </c>
      <c r="K86" s="48">
        <v>0.185</v>
      </c>
      <c r="L86" s="48">
        <v>0.185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  <c r="S86" s="48">
        <v>0</v>
      </c>
      <c r="T86" s="48">
        <v>0</v>
      </c>
      <c r="U86" s="48">
        <v>0</v>
      </c>
      <c r="V86" s="48">
        <v>0</v>
      </c>
      <c r="W86" s="48">
        <v>0</v>
      </c>
      <c r="X86" s="48">
        <v>0</v>
      </c>
      <c r="Y86" s="48">
        <v>0</v>
      </c>
      <c r="Z86" s="48">
        <v>0</v>
      </c>
      <c r="AA86" s="48">
        <v>0</v>
      </c>
      <c r="AB86" s="48">
        <v>0</v>
      </c>
      <c r="AC86" s="48">
        <v>0</v>
      </c>
      <c r="AD86" s="48">
        <v>0</v>
      </c>
      <c r="AE86" s="48">
        <v>0</v>
      </c>
      <c r="AF86" s="48">
        <v>0</v>
      </c>
      <c r="AG86" s="48">
        <v>0</v>
      </c>
      <c r="AH86" s="48">
        <v>0</v>
      </c>
      <c r="AI86" s="48">
        <v>0</v>
      </c>
      <c r="AJ86" s="48">
        <v>0</v>
      </c>
      <c r="AK86" s="48">
        <v>0</v>
      </c>
      <c r="AL86" s="48">
        <v>0</v>
      </c>
      <c r="AM86" s="48">
        <v>0</v>
      </c>
      <c r="AN86" s="48">
        <v>0</v>
      </c>
      <c r="AO86" s="48">
        <v>0</v>
      </c>
      <c r="AP86" s="48">
        <v>0</v>
      </c>
    </row>
    <row r="87" spans="1:42" x14ac:dyDescent="0.3">
      <c r="A87" s="48">
        <v>9</v>
      </c>
      <c r="B87" s="48" t="s">
        <v>79</v>
      </c>
      <c r="C87" s="48" t="s">
        <v>80</v>
      </c>
      <c r="D87" s="48">
        <v>6</v>
      </c>
      <c r="E87" s="48" t="s">
        <v>341</v>
      </c>
      <c r="F87" s="48"/>
      <c r="G87" s="48" t="s">
        <v>334</v>
      </c>
      <c r="H87" s="48"/>
      <c r="I87" s="48">
        <v>0</v>
      </c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</row>
    <row r="88" spans="1:42" x14ac:dyDescent="0.3">
      <c r="A88" s="48">
        <v>9</v>
      </c>
      <c r="B88" s="48" t="s">
        <v>79</v>
      </c>
      <c r="C88" s="48" t="s">
        <v>80</v>
      </c>
      <c r="D88" s="48">
        <v>7</v>
      </c>
      <c r="E88" s="48" t="s">
        <v>343</v>
      </c>
      <c r="F88" s="48" t="s">
        <v>342</v>
      </c>
      <c r="G88" s="48" t="s">
        <v>334</v>
      </c>
      <c r="H88" s="48" t="s">
        <v>429</v>
      </c>
      <c r="I88" s="48">
        <v>0</v>
      </c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</row>
    <row r="89" spans="1:42" x14ac:dyDescent="0.3">
      <c r="A89" s="48">
        <v>9</v>
      </c>
      <c r="B89" s="48" t="s">
        <v>79</v>
      </c>
      <c r="C89" s="48" t="s">
        <v>80</v>
      </c>
      <c r="D89" s="48">
        <v>8</v>
      </c>
      <c r="E89" s="48" t="s">
        <v>344</v>
      </c>
      <c r="F89" s="48" t="s">
        <v>352</v>
      </c>
      <c r="G89" s="48" t="s">
        <v>350</v>
      </c>
      <c r="H89" s="48"/>
      <c r="I89" s="48">
        <v>0</v>
      </c>
      <c r="J89" s="48">
        <v>0</v>
      </c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</row>
    <row r="90" spans="1:42" x14ac:dyDescent="0.3">
      <c r="A90" s="48">
        <v>9</v>
      </c>
      <c r="B90" s="48" t="s">
        <v>79</v>
      </c>
      <c r="C90" s="48" t="s">
        <v>80</v>
      </c>
      <c r="D90" s="48">
        <v>9</v>
      </c>
      <c r="E90" s="48" t="s">
        <v>345</v>
      </c>
      <c r="F90" s="48" t="s">
        <v>353</v>
      </c>
      <c r="G90" s="48" t="s">
        <v>338</v>
      </c>
      <c r="H90" s="48" t="s">
        <v>429</v>
      </c>
      <c r="I90" s="48">
        <v>0</v>
      </c>
      <c r="J90" s="50">
        <v>0</v>
      </c>
      <c r="K90" s="48">
        <v>0</v>
      </c>
      <c r="L90" s="48">
        <v>0</v>
      </c>
      <c r="M90" s="48">
        <v>0</v>
      </c>
      <c r="N90" s="48">
        <v>0</v>
      </c>
      <c r="O90" s="48">
        <v>9.417466436989036E-2</v>
      </c>
      <c r="P90" s="48">
        <v>9.417466436989036E-2</v>
      </c>
      <c r="Q90" s="48">
        <v>9.417466436989036E-2</v>
      </c>
      <c r="R90" s="48">
        <v>9.417466436989036E-2</v>
      </c>
      <c r="S90" s="48">
        <v>9.417466436989036E-2</v>
      </c>
      <c r="T90" s="48">
        <v>9.417466436989036E-2</v>
      </c>
      <c r="U90" s="48">
        <v>9.417466436989036E-2</v>
      </c>
      <c r="V90" s="48">
        <v>9.417466436989036E-2</v>
      </c>
      <c r="W90" s="48">
        <v>9.417466436989036E-2</v>
      </c>
      <c r="X90" s="48">
        <v>9.417466436989036E-2</v>
      </c>
      <c r="Y90" s="48">
        <v>9.417466436989036E-2</v>
      </c>
      <c r="Z90" s="48">
        <v>9.417466436989036E-2</v>
      </c>
      <c r="AA90" s="48">
        <v>9.417466436989036E-2</v>
      </c>
      <c r="AB90" s="48">
        <v>9.417466436989036E-2</v>
      </c>
      <c r="AC90" s="48">
        <v>9.417466436989036E-2</v>
      </c>
      <c r="AD90" s="48">
        <v>9.417466436989036E-2</v>
      </c>
      <c r="AE90" s="48">
        <v>9.417466436989036E-2</v>
      </c>
      <c r="AF90" s="48">
        <v>9.417466436989036E-2</v>
      </c>
      <c r="AG90" s="48">
        <v>9.417466436989036E-2</v>
      </c>
      <c r="AH90" s="48">
        <v>9.417466436989036E-2</v>
      </c>
      <c r="AI90" s="48">
        <v>9.417466436989036E-2</v>
      </c>
      <c r="AJ90" s="48">
        <v>9.417466436989036E-2</v>
      </c>
      <c r="AK90" s="48">
        <v>9.417466436989036E-2</v>
      </c>
      <c r="AL90" s="48">
        <v>9.417466436989036E-2</v>
      </c>
      <c r="AM90" s="48">
        <v>9.417466436989036E-2</v>
      </c>
      <c r="AN90" s="48">
        <v>9.417466436989036E-2</v>
      </c>
      <c r="AO90" s="48">
        <v>9.417466436989036E-2</v>
      </c>
      <c r="AP90" s="48">
        <v>9.417466436989036E-2</v>
      </c>
    </row>
    <row r="91" spans="1:42" x14ac:dyDescent="0.3">
      <c r="A91" s="48">
        <v>9</v>
      </c>
      <c r="B91" s="48" t="s">
        <v>79</v>
      </c>
      <c r="C91" s="48" t="s">
        <v>80</v>
      </c>
      <c r="D91" s="48">
        <v>10</v>
      </c>
      <c r="E91" s="48" t="s">
        <v>346</v>
      </c>
      <c r="F91" s="48" t="s">
        <v>353</v>
      </c>
      <c r="G91" s="48" t="s">
        <v>350</v>
      </c>
      <c r="H91" s="48"/>
      <c r="I91" s="48">
        <v>0</v>
      </c>
      <c r="J91" s="50">
        <v>1</v>
      </c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</row>
    <row r="92" spans="1:42" x14ac:dyDescent="0.3">
      <c r="A92" s="2">
        <v>11</v>
      </c>
      <c r="B92" s="92" t="s">
        <v>81</v>
      </c>
      <c r="C92" s="2" t="s">
        <v>82</v>
      </c>
      <c r="D92" s="2">
        <v>1</v>
      </c>
      <c r="E92" s="2" t="s">
        <v>333</v>
      </c>
      <c r="F92" s="2" t="s">
        <v>349</v>
      </c>
      <c r="G92" s="2" t="s">
        <v>338</v>
      </c>
      <c r="H92" s="2" t="s">
        <v>440</v>
      </c>
      <c r="I92" s="2">
        <v>0</v>
      </c>
      <c r="J92" s="2">
        <v>1084</v>
      </c>
      <c r="K92" s="2">
        <v>1084</v>
      </c>
      <c r="L92" s="2">
        <v>1084</v>
      </c>
      <c r="M92" s="2">
        <v>1010.741288278775</v>
      </c>
      <c r="N92" s="2">
        <v>1005.0179514255543</v>
      </c>
      <c r="O92" s="2">
        <v>991.28194297782466</v>
      </c>
      <c r="P92" s="2">
        <v>982.12460401267163</v>
      </c>
      <c r="Q92" s="2">
        <v>975.25659978880674</v>
      </c>
      <c r="R92" s="2">
        <v>967.24392819429772</v>
      </c>
      <c r="S92" s="2">
        <v>961.52059134107697</v>
      </c>
      <c r="T92" s="2">
        <v>955.79725448785632</v>
      </c>
      <c r="U92" s="2">
        <v>952.36325237592393</v>
      </c>
      <c r="V92" s="2">
        <v>946.63991552270318</v>
      </c>
      <c r="W92" s="2">
        <v>943.20591341077079</v>
      </c>
      <c r="X92" s="2">
        <v>938.62724392819428</v>
      </c>
      <c r="Y92" s="2">
        <v>935.19324181626178</v>
      </c>
      <c r="Z92" s="2">
        <v>930.61457233368526</v>
      </c>
      <c r="AA92" s="2">
        <v>927.18057022175276</v>
      </c>
      <c r="AB92" s="2">
        <v>922.60190073917624</v>
      </c>
      <c r="AC92" s="2">
        <v>919.16789862724386</v>
      </c>
      <c r="AD92" s="2">
        <v>914.58922914466734</v>
      </c>
      <c r="AE92" s="2">
        <v>911.15522703273484</v>
      </c>
      <c r="AF92" s="2">
        <v>907.72122492080234</v>
      </c>
      <c r="AG92" s="2">
        <v>903.14255543822594</v>
      </c>
      <c r="AH92" s="2">
        <v>899.70855332629344</v>
      </c>
      <c r="AI92" s="2">
        <v>895.12988384371681</v>
      </c>
      <c r="AJ92" s="2">
        <v>891.69588173178454</v>
      </c>
      <c r="AK92" s="2">
        <v>887.11721224920802</v>
      </c>
      <c r="AL92" s="2">
        <v>883.68321013727564</v>
      </c>
      <c r="AM92" s="2">
        <v>879.10454065469901</v>
      </c>
      <c r="AN92" s="2">
        <v>876.81520591341064</v>
      </c>
      <c r="AO92" s="2">
        <v>874.52587117212238</v>
      </c>
      <c r="AP92" s="2">
        <v>874.52587117212238</v>
      </c>
    </row>
    <row r="93" spans="1:42" x14ac:dyDescent="0.3">
      <c r="A93" s="2">
        <v>11</v>
      </c>
      <c r="B93" s="92" t="s">
        <v>81</v>
      </c>
      <c r="C93" s="2" t="s">
        <v>82</v>
      </c>
      <c r="D93" s="2">
        <v>2</v>
      </c>
      <c r="E93" s="2" t="s">
        <v>335</v>
      </c>
      <c r="F93" s="2" t="s">
        <v>349</v>
      </c>
      <c r="G93" s="2" t="s">
        <v>350</v>
      </c>
      <c r="H93" s="2" t="s">
        <v>440</v>
      </c>
      <c r="I93" s="2">
        <v>0</v>
      </c>
      <c r="J93" s="2">
        <v>14.1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x14ac:dyDescent="0.3">
      <c r="A94" s="2">
        <v>11</v>
      </c>
      <c r="B94" s="92" t="s">
        <v>81</v>
      </c>
      <c r="C94" s="2" t="s">
        <v>82</v>
      </c>
      <c r="D94" s="2">
        <v>3</v>
      </c>
      <c r="E94" s="2" t="s">
        <v>336</v>
      </c>
      <c r="F94" s="2" t="s">
        <v>337</v>
      </c>
      <c r="G94" s="2" t="s">
        <v>338</v>
      </c>
      <c r="H94" s="2" t="s">
        <v>440</v>
      </c>
      <c r="I94" s="2">
        <v>0</v>
      </c>
      <c r="J94" s="2">
        <v>0.37533401180208015</v>
      </c>
      <c r="K94" s="2">
        <v>0.35273374559244275</v>
      </c>
      <c r="L94" s="2">
        <v>0.28613070419299563</v>
      </c>
      <c r="M94" s="2">
        <v>0.39800386712449315</v>
      </c>
      <c r="N94" s="2">
        <v>0.46330255865948261</v>
      </c>
      <c r="O94" s="2">
        <v>0.37510097747429882</v>
      </c>
      <c r="P94" s="2">
        <v>0.37510097747429882</v>
      </c>
      <c r="Q94" s="2">
        <v>0.37510097747429882</v>
      </c>
      <c r="R94" s="2">
        <v>0.37510097747429882</v>
      </c>
      <c r="S94" s="2">
        <v>0.37510097747429882</v>
      </c>
      <c r="T94" s="2">
        <v>0.37510097747429882</v>
      </c>
      <c r="U94" s="2">
        <v>0.37510097747429882</v>
      </c>
      <c r="V94" s="2">
        <v>0.37510097747429882</v>
      </c>
      <c r="W94" s="2">
        <v>0.37510097747429882</v>
      </c>
      <c r="X94" s="2">
        <v>0.37510097747429882</v>
      </c>
      <c r="Y94" s="2">
        <v>0.37510097747429882</v>
      </c>
      <c r="Z94" s="2">
        <v>0.37510097747429882</v>
      </c>
      <c r="AA94" s="2">
        <v>0.37510097747429882</v>
      </c>
      <c r="AB94" s="2">
        <v>0.37510097747429882</v>
      </c>
      <c r="AC94" s="2">
        <v>0.37510097747429882</v>
      </c>
      <c r="AD94" s="2">
        <v>0.37510097747429882</v>
      </c>
      <c r="AE94" s="2">
        <v>0.37510097747429882</v>
      </c>
      <c r="AF94" s="2">
        <v>0.37510097747429882</v>
      </c>
      <c r="AG94" s="2">
        <v>0.37510097747429882</v>
      </c>
      <c r="AH94" s="2">
        <v>0.37510097747429882</v>
      </c>
      <c r="AI94" s="2">
        <v>0.37510097747429882</v>
      </c>
      <c r="AJ94" s="2">
        <v>0.37510097747429882</v>
      </c>
      <c r="AK94" s="2">
        <v>0.37510097747429882</v>
      </c>
      <c r="AL94" s="2">
        <v>0.37510097747429882</v>
      </c>
      <c r="AM94" s="2">
        <v>0.37510097747429882</v>
      </c>
      <c r="AN94" s="2">
        <v>0.37510097747429882</v>
      </c>
      <c r="AO94" s="2">
        <v>0.37510097747429882</v>
      </c>
      <c r="AP94" s="2">
        <v>0.37510097747429882</v>
      </c>
    </row>
    <row r="95" spans="1:42" x14ac:dyDescent="0.3">
      <c r="A95" s="2">
        <v>11</v>
      </c>
      <c r="B95" s="92" t="s">
        <v>81</v>
      </c>
      <c r="C95" s="2" t="s">
        <v>82</v>
      </c>
      <c r="D95" s="2">
        <v>4</v>
      </c>
      <c r="E95" s="2" t="s">
        <v>339</v>
      </c>
      <c r="F95" s="2" t="s">
        <v>352</v>
      </c>
      <c r="G95" s="2" t="s">
        <v>338</v>
      </c>
      <c r="H95" s="2" t="s">
        <v>438</v>
      </c>
      <c r="I95" s="2">
        <v>0</v>
      </c>
      <c r="J95" s="6">
        <v>1.1183000000000001</v>
      </c>
      <c r="K95" s="2">
        <v>0.97825000000000006</v>
      </c>
      <c r="L95" s="2">
        <v>0.97825000000000006</v>
      </c>
      <c r="M95" s="2">
        <v>1.15825</v>
      </c>
      <c r="N95" s="2">
        <v>1.15825</v>
      </c>
      <c r="O95" s="2">
        <f>N95</f>
        <v>1.15825</v>
      </c>
      <c r="P95" s="2">
        <f t="shared" ref="P95:AP95" si="4">O95</f>
        <v>1.15825</v>
      </c>
      <c r="Q95" s="2">
        <f t="shared" si="4"/>
        <v>1.15825</v>
      </c>
      <c r="R95" s="2">
        <f t="shared" si="4"/>
        <v>1.15825</v>
      </c>
      <c r="S95" s="2">
        <f t="shared" si="4"/>
        <v>1.15825</v>
      </c>
      <c r="T95" s="2">
        <f t="shared" si="4"/>
        <v>1.15825</v>
      </c>
      <c r="U95" s="2">
        <f t="shared" si="4"/>
        <v>1.15825</v>
      </c>
      <c r="V95" s="2">
        <f t="shared" si="4"/>
        <v>1.15825</v>
      </c>
      <c r="W95" s="2">
        <f t="shared" si="4"/>
        <v>1.15825</v>
      </c>
      <c r="X95" s="2">
        <f t="shared" si="4"/>
        <v>1.15825</v>
      </c>
      <c r="Y95" s="2">
        <f t="shared" si="4"/>
        <v>1.15825</v>
      </c>
      <c r="Z95" s="2">
        <f t="shared" si="4"/>
        <v>1.15825</v>
      </c>
      <c r="AA95" s="2">
        <f t="shared" si="4"/>
        <v>1.15825</v>
      </c>
      <c r="AB95" s="2">
        <f t="shared" si="4"/>
        <v>1.15825</v>
      </c>
      <c r="AC95" s="2">
        <f t="shared" si="4"/>
        <v>1.15825</v>
      </c>
      <c r="AD95" s="2">
        <f t="shared" si="4"/>
        <v>1.15825</v>
      </c>
      <c r="AE95" s="2">
        <f t="shared" si="4"/>
        <v>1.15825</v>
      </c>
      <c r="AF95" s="2">
        <f t="shared" si="4"/>
        <v>1.15825</v>
      </c>
      <c r="AG95" s="2">
        <f t="shared" si="4"/>
        <v>1.15825</v>
      </c>
      <c r="AH95" s="2">
        <f t="shared" si="4"/>
        <v>1.15825</v>
      </c>
      <c r="AI95" s="2">
        <f t="shared" si="4"/>
        <v>1.15825</v>
      </c>
      <c r="AJ95" s="2">
        <f t="shared" si="4"/>
        <v>1.15825</v>
      </c>
      <c r="AK95" s="2">
        <f t="shared" si="4"/>
        <v>1.15825</v>
      </c>
      <c r="AL95" s="2">
        <f t="shared" si="4"/>
        <v>1.15825</v>
      </c>
      <c r="AM95" s="2">
        <f t="shared" si="4"/>
        <v>1.15825</v>
      </c>
      <c r="AN95" s="2">
        <f t="shared" si="4"/>
        <v>1.15825</v>
      </c>
      <c r="AO95" s="2">
        <f t="shared" si="4"/>
        <v>1.15825</v>
      </c>
      <c r="AP95" s="2">
        <f t="shared" si="4"/>
        <v>1.15825</v>
      </c>
    </row>
    <row r="96" spans="1:42" x14ac:dyDescent="0.3">
      <c r="A96" s="2">
        <v>11</v>
      </c>
      <c r="B96" s="92" t="s">
        <v>81</v>
      </c>
      <c r="C96" s="2" t="s">
        <v>82</v>
      </c>
      <c r="D96" s="2">
        <v>5</v>
      </c>
      <c r="E96" s="2" t="s">
        <v>340</v>
      </c>
      <c r="F96" s="2" t="s">
        <v>352</v>
      </c>
      <c r="G96" s="2" t="s">
        <v>338</v>
      </c>
      <c r="H96" s="2" t="s">
        <v>438</v>
      </c>
      <c r="I96" s="2">
        <v>0</v>
      </c>
      <c r="J96" s="6">
        <v>1.1183000000000001</v>
      </c>
      <c r="K96" s="2">
        <v>0.97825000000000006</v>
      </c>
      <c r="L96" s="2">
        <v>0.97825000000000006</v>
      </c>
      <c r="M96" s="2">
        <v>1.15825</v>
      </c>
      <c r="N96" s="2">
        <v>1.15825</v>
      </c>
      <c r="O96" s="2">
        <f>N96</f>
        <v>1.15825</v>
      </c>
      <c r="P96" s="2">
        <f t="shared" ref="P96:AO96" si="5">O96</f>
        <v>1.15825</v>
      </c>
      <c r="Q96" s="2">
        <f t="shared" si="5"/>
        <v>1.15825</v>
      </c>
      <c r="R96" s="2">
        <f t="shared" si="5"/>
        <v>1.15825</v>
      </c>
      <c r="S96" s="2">
        <f t="shared" si="5"/>
        <v>1.15825</v>
      </c>
      <c r="T96" s="2">
        <f t="shared" si="5"/>
        <v>1.15825</v>
      </c>
      <c r="U96" s="2">
        <f t="shared" si="5"/>
        <v>1.15825</v>
      </c>
      <c r="V96" s="2">
        <f t="shared" si="5"/>
        <v>1.15825</v>
      </c>
      <c r="W96" s="2">
        <f t="shared" si="5"/>
        <v>1.15825</v>
      </c>
      <c r="X96" s="2">
        <f t="shared" si="5"/>
        <v>1.15825</v>
      </c>
      <c r="Y96" s="2">
        <f t="shared" si="5"/>
        <v>1.15825</v>
      </c>
      <c r="Z96" s="2">
        <f t="shared" si="5"/>
        <v>1.15825</v>
      </c>
      <c r="AA96" s="2">
        <f t="shared" si="5"/>
        <v>1.15825</v>
      </c>
      <c r="AB96" s="2">
        <f t="shared" si="5"/>
        <v>1.15825</v>
      </c>
      <c r="AC96" s="2">
        <f t="shared" si="5"/>
        <v>1.15825</v>
      </c>
      <c r="AD96" s="2">
        <f t="shared" si="5"/>
        <v>1.15825</v>
      </c>
      <c r="AE96" s="2">
        <f t="shared" si="5"/>
        <v>1.15825</v>
      </c>
      <c r="AF96" s="2">
        <f t="shared" si="5"/>
        <v>1.15825</v>
      </c>
      <c r="AG96" s="2">
        <f t="shared" si="5"/>
        <v>1.15825</v>
      </c>
      <c r="AH96" s="2">
        <f t="shared" si="5"/>
        <v>1.15825</v>
      </c>
      <c r="AI96" s="2">
        <f t="shared" si="5"/>
        <v>1.15825</v>
      </c>
      <c r="AJ96" s="2">
        <f t="shared" si="5"/>
        <v>1.15825</v>
      </c>
      <c r="AK96" s="2">
        <f t="shared" si="5"/>
        <v>1.15825</v>
      </c>
      <c r="AL96" s="2">
        <f t="shared" si="5"/>
        <v>1.15825</v>
      </c>
      <c r="AM96" s="2">
        <f t="shared" si="5"/>
        <v>1.15825</v>
      </c>
      <c r="AN96" s="2">
        <f t="shared" si="5"/>
        <v>1.15825</v>
      </c>
      <c r="AO96" s="2">
        <f t="shared" si="5"/>
        <v>1.15825</v>
      </c>
      <c r="AP96" s="2">
        <f>AO96</f>
        <v>1.15825</v>
      </c>
    </row>
    <row r="97" spans="1:42" x14ac:dyDescent="0.3">
      <c r="A97" s="2">
        <v>11</v>
      </c>
      <c r="B97" s="92" t="s">
        <v>81</v>
      </c>
      <c r="C97" s="2" t="s">
        <v>82</v>
      </c>
      <c r="D97" s="2">
        <v>6</v>
      </c>
      <c r="E97" s="2" t="s">
        <v>341</v>
      </c>
      <c r="F97" s="2"/>
      <c r="G97" s="2" t="s">
        <v>334</v>
      </c>
      <c r="H97" s="2"/>
      <c r="I97" s="2">
        <v>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x14ac:dyDescent="0.3">
      <c r="A98" s="2">
        <v>11</v>
      </c>
      <c r="B98" s="92" t="s">
        <v>81</v>
      </c>
      <c r="C98" s="2" t="s">
        <v>82</v>
      </c>
      <c r="D98" s="2">
        <v>7</v>
      </c>
      <c r="E98" s="2" t="s">
        <v>343</v>
      </c>
      <c r="F98" s="2" t="s">
        <v>342</v>
      </c>
      <c r="G98" s="56" t="s">
        <v>338</v>
      </c>
      <c r="H98" s="56" t="s">
        <v>429</v>
      </c>
      <c r="I98" s="56">
        <v>0</v>
      </c>
      <c r="J98" s="56">
        <v>15.750403199999997</v>
      </c>
      <c r="K98" s="56">
        <v>15.275393280000001</v>
      </c>
      <c r="L98" s="56">
        <v>13.829726304071999</v>
      </c>
      <c r="M98" s="56">
        <v>21.054779353440001</v>
      </c>
      <c r="N98" s="126">
        <v>15.837265445783132</v>
      </c>
      <c r="O98" s="56">
        <v>18.443889198000001</v>
      </c>
      <c r="P98" s="56">
        <f>P96*P100*8760*0.0036*1*0.98</f>
        <v>17.898020280000001</v>
      </c>
      <c r="Q98" s="56">
        <f>Q96*Q100*8760*0.0036*1*0.98</f>
        <v>17.898020280000001</v>
      </c>
      <c r="R98" s="56">
        <f t="shared" ref="R98:AP98" si="6">R96*R100*8760*0.0036*1*0.98</f>
        <v>17.898020280000001</v>
      </c>
      <c r="S98" s="56">
        <f t="shared" si="6"/>
        <v>17.898020280000001</v>
      </c>
      <c r="T98" s="56">
        <f t="shared" si="6"/>
        <v>17.898020280000001</v>
      </c>
      <c r="U98" s="56">
        <f t="shared" si="6"/>
        <v>17.898020280000001</v>
      </c>
      <c r="V98" s="56">
        <f t="shared" si="6"/>
        <v>17.898020280000001</v>
      </c>
      <c r="W98" s="56">
        <f t="shared" si="6"/>
        <v>17.898020280000001</v>
      </c>
      <c r="X98" s="56">
        <f t="shared" si="6"/>
        <v>17.898020280000001</v>
      </c>
      <c r="Y98" s="56">
        <f t="shared" si="6"/>
        <v>17.898020280000001</v>
      </c>
      <c r="Z98" s="56">
        <f t="shared" si="6"/>
        <v>17.898020280000001</v>
      </c>
      <c r="AA98" s="56">
        <f t="shared" si="6"/>
        <v>17.898020280000001</v>
      </c>
      <c r="AB98" s="56">
        <f t="shared" si="6"/>
        <v>17.898020280000001</v>
      </c>
      <c r="AC98" s="56">
        <f t="shared" si="6"/>
        <v>17.898020280000001</v>
      </c>
      <c r="AD98" s="56">
        <f t="shared" si="6"/>
        <v>17.898020280000001</v>
      </c>
      <c r="AE98" s="56">
        <f t="shared" si="6"/>
        <v>17.898020280000001</v>
      </c>
      <c r="AF98" s="56">
        <f t="shared" si="6"/>
        <v>17.898020280000001</v>
      </c>
      <c r="AG98" s="56">
        <f t="shared" si="6"/>
        <v>17.898020280000001</v>
      </c>
      <c r="AH98" s="56">
        <f t="shared" si="6"/>
        <v>17.898020280000001</v>
      </c>
      <c r="AI98" s="56">
        <f t="shared" si="6"/>
        <v>17.898020280000001</v>
      </c>
      <c r="AJ98" s="56">
        <f t="shared" si="6"/>
        <v>17.898020280000001</v>
      </c>
      <c r="AK98" s="56">
        <f t="shared" si="6"/>
        <v>17.898020280000001</v>
      </c>
      <c r="AL98" s="56">
        <f t="shared" si="6"/>
        <v>17.898020280000001</v>
      </c>
      <c r="AM98" s="56">
        <f t="shared" si="6"/>
        <v>17.898020280000001</v>
      </c>
      <c r="AN98" s="56">
        <f t="shared" si="6"/>
        <v>17.898020280000001</v>
      </c>
      <c r="AO98" s="56">
        <f t="shared" si="6"/>
        <v>17.898020280000001</v>
      </c>
      <c r="AP98" s="56">
        <f t="shared" si="6"/>
        <v>17.898020280000001</v>
      </c>
    </row>
    <row r="99" spans="1:42" x14ac:dyDescent="0.3">
      <c r="A99" s="2">
        <v>11</v>
      </c>
      <c r="B99" s="92" t="s">
        <v>81</v>
      </c>
      <c r="C99" s="2" t="s">
        <v>82</v>
      </c>
      <c r="D99" s="2">
        <v>8</v>
      </c>
      <c r="E99" s="2" t="s">
        <v>344</v>
      </c>
      <c r="F99" s="2" t="s">
        <v>352</v>
      </c>
      <c r="G99" s="56" t="s">
        <v>334</v>
      </c>
      <c r="H99" s="56"/>
      <c r="I99" s="56">
        <v>0</v>
      </c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</row>
    <row r="100" spans="1:42" x14ac:dyDescent="0.3">
      <c r="A100" s="2">
        <v>11</v>
      </c>
      <c r="B100" s="92" t="s">
        <v>81</v>
      </c>
      <c r="C100" s="2" t="s">
        <v>82</v>
      </c>
      <c r="D100" s="2">
        <v>9</v>
      </c>
      <c r="E100" s="2" t="s">
        <v>345</v>
      </c>
      <c r="F100" s="2" t="s">
        <v>353</v>
      </c>
      <c r="G100" s="56" t="s">
        <v>338</v>
      </c>
      <c r="H100" s="56" t="s">
        <v>429</v>
      </c>
      <c r="I100" s="56">
        <v>0</v>
      </c>
      <c r="J100" s="56">
        <f>J98/(J96*8760*0.0036*1*0.98)</f>
        <v>0.45572270696266376</v>
      </c>
      <c r="K100" s="56">
        <f t="shared" ref="K100:O100" si="7">K98/(K96*8760*0.0036*1*0.98)</f>
        <v>0.50525411723245428</v>
      </c>
      <c r="L100" s="56">
        <f t="shared" si="7"/>
        <v>0.45743674334585444</v>
      </c>
      <c r="M100" s="56">
        <f t="shared" si="7"/>
        <v>0.58818738117554525</v>
      </c>
      <c r="N100" s="56">
        <f>N98/(N96*8760*0.0036*1*0.98)</f>
        <v>0.44243064869806736</v>
      </c>
      <c r="O100" s="56">
        <f t="shared" si="7"/>
        <v>0.51524942170866728</v>
      </c>
      <c r="P100" s="56">
        <v>0.5</v>
      </c>
      <c r="Q100" s="56">
        <v>0.5</v>
      </c>
      <c r="R100" s="56">
        <v>0.5</v>
      </c>
      <c r="S100" s="56">
        <v>0.5</v>
      </c>
      <c r="T100" s="56">
        <v>0.5</v>
      </c>
      <c r="U100" s="56">
        <v>0.5</v>
      </c>
      <c r="V100" s="56">
        <v>0.5</v>
      </c>
      <c r="W100" s="56">
        <v>0.5</v>
      </c>
      <c r="X100" s="56">
        <v>0.5</v>
      </c>
      <c r="Y100" s="56">
        <v>0.5</v>
      </c>
      <c r="Z100" s="56">
        <v>0.5</v>
      </c>
      <c r="AA100" s="56">
        <v>0.5</v>
      </c>
      <c r="AB100" s="56">
        <v>0.5</v>
      </c>
      <c r="AC100" s="56">
        <v>0.5</v>
      </c>
      <c r="AD100" s="56">
        <v>0.5</v>
      </c>
      <c r="AE100" s="56">
        <v>0.5</v>
      </c>
      <c r="AF100" s="56">
        <v>0.5</v>
      </c>
      <c r="AG100" s="56">
        <v>0.5</v>
      </c>
      <c r="AH100" s="56">
        <v>0.5</v>
      </c>
      <c r="AI100" s="56">
        <v>0.5</v>
      </c>
      <c r="AJ100" s="56">
        <v>0.5</v>
      </c>
      <c r="AK100" s="56">
        <v>0.5</v>
      </c>
      <c r="AL100" s="56">
        <v>0.5</v>
      </c>
      <c r="AM100" s="56">
        <v>0.5</v>
      </c>
      <c r="AN100" s="56">
        <v>0.5</v>
      </c>
      <c r="AO100" s="56">
        <v>0.5</v>
      </c>
      <c r="AP100" s="56">
        <v>0.5</v>
      </c>
    </row>
    <row r="101" spans="1:42" x14ac:dyDescent="0.3">
      <c r="A101" s="2">
        <v>11</v>
      </c>
      <c r="B101" s="92" t="s">
        <v>81</v>
      </c>
      <c r="C101" s="2" t="s">
        <v>82</v>
      </c>
      <c r="D101" s="2">
        <v>10</v>
      </c>
      <c r="E101" s="2" t="s">
        <v>346</v>
      </c>
      <c r="F101" s="2" t="s">
        <v>353</v>
      </c>
      <c r="G101" s="2" t="s">
        <v>350</v>
      </c>
      <c r="H101" s="2"/>
      <c r="I101" s="2">
        <v>0</v>
      </c>
      <c r="J101" s="6">
        <v>1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x14ac:dyDescent="0.3">
      <c r="A102" s="48">
        <v>12</v>
      </c>
      <c r="B102" s="92" t="s">
        <v>83</v>
      </c>
      <c r="C102" s="48" t="s">
        <v>84</v>
      </c>
      <c r="D102" s="48">
        <v>1</v>
      </c>
      <c r="E102" s="48" t="s">
        <v>333</v>
      </c>
      <c r="F102" s="48" t="s">
        <v>349</v>
      </c>
      <c r="G102" s="48" t="s">
        <v>338</v>
      </c>
      <c r="H102" s="48" t="s">
        <v>440</v>
      </c>
      <c r="I102" s="48">
        <v>0</v>
      </c>
      <c r="J102" s="48">
        <v>1084</v>
      </c>
      <c r="K102" s="48">
        <v>1084</v>
      </c>
      <c r="L102" s="48">
        <v>1084</v>
      </c>
      <c r="M102" s="48">
        <v>1010.741288278775</v>
      </c>
      <c r="N102" s="48">
        <v>1005.0179514255543</v>
      </c>
      <c r="O102" s="48">
        <v>991.28194297782466</v>
      </c>
      <c r="P102" s="48">
        <v>982.12460401267163</v>
      </c>
      <c r="Q102" s="48">
        <v>975.25659978880674</v>
      </c>
      <c r="R102" s="48">
        <v>967.24392819429772</v>
      </c>
      <c r="S102" s="48">
        <v>961.52059134107697</v>
      </c>
      <c r="T102" s="48">
        <v>955.79725448785632</v>
      </c>
      <c r="U102" s="48">
        <v>952.36325237592393</v>
      </c>
      <c r="V102" s="48">
        <v>946.63991552270318</v>
      </c>
      <c r="W102" s="48">
        <v>943.20591341077079</v>
      </c>
      <c r="X102" s="48">
        <v>938.62724392819428</v>
      </c>
      <c r="Y102" s="48">
        <v>935.19324181626178</v>
      </c>
      <c r="Z102" s="48">
        <v>930.61457233368526</v>
      </c>
      <c r="AA102" s="48">
        <v>927.18057022175276</v>
      </c>
      <c r="AB102" s="48">
        <v>922.60190073917624</v>
      </c>
      <c r="AC102" s="48">
        <v>919.16789862724386</v>
      </c>
      <c r="AD102" s="48">
        <v>914.58922914466734</v>
      </c>
      <c r="AE102" s="48">
        <v>911.15522703273484</v>
      </c>
      <c r="AF102" s="48">
        <v>907.72122492080234</v>
      </c>
      <c r="AG102" s="48">
        <v>903.14255543822594</v>
      </c>
      <c r="AH102" s="48">
        <v>899.70855332629344</v>
      </c>
      <c r="AI102" s="48">
        <v>895.12988384371681</v>
      </c>
      <c r="AJ102" s="48">
        <v>891.69588173178454</v>
      </c>
      <c r="AK102" s="48">
        <v>887.11721224920802</v>
      </c>
      <c r="AL102" s="48">
        <v>883.68321013727564</v>
      </c>
      <c r="AM102" s="48">
        <v>879.10454065469901</v>
      </c>
      <c r="AN102" s="48">
        <v>876.81520591341064</v>
      </c>
      <c r="AO102" s="48">
        <v>874.52587117212238</v>
      </c>
      <c r="AP102" s="48">
        <v>874.52587117212238</v>
      </c>
    </row>
    <row r="103" spans="1:42" x14ac:dyDescent="0.3">
      <c r="A103" s="48">
        <v>12</v>
      </c>
      <c r="B103" s="92" t="s">
        <v>83</v>
      </c>
      <c r="C103" s="48" t="s">
        <v>84</v>
      </c>
      <c r="D103" s="48">
        <v>2</v>
      </c>
      <c r="E103" s="48" t="s">
        <v>335</v>
      </c>
      <c r="F103" s="48" t="s">
        <v>349</v>
      </c>
      <c r="G103" s="48" t="s">
        <v>350</v>
      </c>
      <c r="H103" s="48" t="s">
        <v>440</v>
      </c>
      <c r="I103" s="48">
        <v>0</v>
      </c>
      <c r="J103" s="48">
        <v>14.1</v>
      </c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</row>
    <row r="104" spans="1:42" x14ac:dyDescent="0.3">
      <c r="A104" s="48">
        <v>12</v>
      </c>
      <c r="B104" s="92" t="s">
        <v>83</v>
      </c>
      <c r="C104" s="48" t="s">
        <v>84</v>
      </c>
      <c r="D104" s="48">
        <v>3</v>
      </c>
      <c r="E104" s="48" t="s">
        <v>336</v>
      </c>
      <c r="F104" s="48" t="s">
        <v>337</v>
      </c>
      <c r="G104" s="48" t="s">
        <v>338</v>
      </c>
      <c r="H104" s="48" t="s">
        <v>440</v>
      </c>
      <c r="I104" s="48">
        <v>0</v>
      </c>
      <c r="J104" s="48">
        <v>0.37533401180208015</v>
      </c>
      <c r="K104" s="48">
        <v>0.35273374559244275</v>
      </c>
      <c r="L104" s="48">
        <v>0.28613070419299563</v>
      </c>
      <c r="M104" s="48">
        <v>0.39800386712449315</v>
      </c>
      <c r="N104" s="48">
        <v>0.46330255865948261</v>
      </c>
      <c r="O104" s="48">
        <v>0.37510097747429882</v>
      </c>
      <c r="P104" s="48">
        <v>0.37510097747429882</v>
      </c>
      <c r="Q104" s="48">
        <v>0.37510097747429882</v>
      </c>
      <c r="R104" s="48">
        <v>0.37510097747429882</v>
      </c>
      <c r="S104" s="48">
        <v>0.37510097747429882</v>
      </c>
      <c r="T104" s="48">
        <v>0.37510097747429882</v>
      </c>
      <c r="U104" s="48">
        <v>0.37510097747429882</v>
      </c>
      <c r="V104" s="48">
        <v>0.37510097747429882</v>
      </c>
      <c r="W104" s="48">
        <v>0.37510097747429882</v>
      </c>
      <c r="X104" s="48">
        <v>0.37510097747429882</v>
      </c>
      <c r="Y104" s="48">
        <v>0.37510097747429882</v>
      </c>
      <c r="Z104" s="48">
        <v>0.37510097747429882</v>
      </c>
      <c r="AA104" s="48">
        <v>0.37510097747429882</v>
      </c>
      <c r="AB104" s="48">
        <v>0.37510097747429882</v>
      </c>
      <c r="AC104" s="48">
        <v>0.37510097747429882</v>
      </c>
      <c r="AD104" s="48">
        <v>0.37510097747429882</v>
      </c>
      <c r="AE104" s="48">
        <v>0.37510097747429882</v>
      </c>
      <c r="AF104" s="48">
        <v>0.37510097747429882</v>
      </c>
      <c r="AG104" s="48">
        <v>0.37510097747429882</v>
      </c>
      <c r="AH104" s="48">
        <v>0.37510097747429882</v>
      </c>
      <c r="AI104" s="48">
        <v>0.37510097747429882</v>
      </c>
      <c r="AJ104" s="48">
        <v>0.37510097747429882</v>
      </c>
      <c r="AK104" s="48">
        <v>0.37510097747429882</v>
      </c>
      <c r="AL104" s="48">
        <v>0.37510097747429882</v>
      </c>
      <c r="AM104" s="48">
        <v>0.37510097747429882</v>
      </c>
      <c r="AN104" s="48">
        <v>0.37510097747429882</v>
      </c>
      <c r="AO104" s="48">
        <v>0.37510097747429882</v>
      </c>
      <c r="AP104" s="48">
        <v>0.37510097747429882</v>
      </c>
    </row>
    <row r="105" spans="1:42" x14ac:dyDescent="0.3">
      <c r="A105" s="48">
        <v>12</v>
      </c>
      <c r="B105" s="92" t="s">
        <v>83</v>
      </c>
      <c r="C105" s="48" t="s">
        <v>84</v>
      </c>
      <c r="D105" s="48">
        <v>4</v>
      </c>
      <c r="E105" s="48" t="s">
        <v>339</v>
      </c>
      <c r="F105" s="48" t="s">
        <v>352</v>
      </c>
      <c r="G105" s="48" t="s">
        <v>338</v>
      </c>
      <c r="H105" s="48" t="s">
        <v>438</v>
      </c>
      <c r="I105" s="48">
        <v>0</v>
      </c>
      <c r="J105" s="130">
        <v>0</v>
      </c>
      <c r="K105" s="48">
        <v>0</v>
      </c>
      <c r="L105" s="48">
        <v>0</v>
      </c>
      <c r="M105" s="48">
        <v>0</v>
      </c>
      <c r="N105" s="48">
        <v>0</v>
      </c>
      <c r="O105" s="48">
        <v>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0</v>
      </c>
      <c r="X105" s="48">
        <v>0</v>
      </c>
      <c r="Y105" s="48">
        <v>0</v>
      </c>
      <c r="Z105" s="48">
        <v>0</v>
      </c>
      <c r="AA105" s="48">
        <v>0</v>
      </c>
      <c r="AB105" s="48">
        <v>0</v>
      </c>
      <c r="AC105" s="48">
        <v>0</v>
      </c>
      <c r="AD105" s="48">
        <v>0</v>
      </c>
      <c r="AE105" s="48">
        <v>0</v>
      </c>
      <c r="AF105" s="48">
        <v>0</v>
      </c>
      <c r="AG105" s="48">
        <v>0</v>
      </c>
      <c r="AH105" s="48">
        <v>0</v>
      </c>
      <c r="AI105" s="48">
        <v>0</v>
      </c>
      <c r="AJ105" s="48">
        <v>0</v>
      </c>
      <c r="AK105" s="48">
        <v>0</v>
      </c>
      <c r="AL105" s="48">
        <v>0</v>
      </c>
      <c r="AM105" s="48">
        <v>0</v>
      </c>
      <c r="AN105" s="48">
        <v>0</v>
      </c>
      <c r="AO105" s="48">
        <v>0</v>
      </c>
      <c r="AP105" s="48">
        <v>0</v>
      </c>
    </row>
    <row r="106" spans="1:42" x14ac:dyDescent="0.3">
      <c r="A106" s="48">
        <v>12</v>
      </c>
      <c r="B106" s="92" t="s">
        <v>83</v>
      </c>
      <c r="C106" s="48" t="s">
        <v>84</v>
      </c>
      <c r="D106" s="48">
        <v>5</v>
      </c>
      <c r="E106" s="48" t="s">
        <v>340</v>
      </c>
      <c r="F106" s="48" t="s">
        <v>352</v>
      </c>
      <c r="G106" s="48" t="s">
        <v>338</v>
      </c>
      <c r="H106" s="48" t="s">
        <v>438</v>
      </c>
      <c r="I106" s="48">
        <v>0</v>
      </c>
      <c r="J106" s="130">
        <v>0</v>
      </c>
      <c r="K106" s="48">
        <v>0</v>
      </c>
      <c r="L106" s="48">
        <v>0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v>0</v>
      </c>
      <c r="Y106" s="48">
        <v>0</v>
      </c>
      <c r="Z106" s="48">
        <v>0</v>
      </c>
      <c r="AA106" s="48">
        <v>0</v>
      </c>
      <c r="AB106" s="48">
        <v>0</v>
      </c>
      <c r="AC106" s="48">
        <v>0</v>
      </c>
      <c r="AD106" s="48">
        <v>0</v>
      </c>
      <c r="AE106" s="48">
        <v>0</v>
      </c>
      <c r="AF106" s="48">
        <v>0</v>
      </c>
      <c r="AG106" s="48">
        <v>0</v>
      </c>
      <c r="AH106" s="48">
        <v>0</v>
      </c>
      <c r="AI106" s="48">
        <v>0</v>
      </c>
      <c r="AJ106" s="48">
        <v>0</v>
      </c>
      <c r="AK106" s="48">
        <v>0</v>
      </c>
      <c r="AL106" s="48">
        <v>0</v>
      </c>
      <c r="AM106" s="48">
        <v>0</v>
      </c>
      <c r="AN106" s="48">
        <v>0</v>
      </c>
      <c r="AO106" s="48">
        <v>0</v>
      </c>
      <c r="AP106" s="48">
        <v>0</v>
      </c>
    </row>
    <row r="107" spans="1:42" x14ac:dyDescent="0.3">
      <c r="A107" s="48">
        <v>12</v>
      </c>
      <c r="B107" s="92" t="s">
        <v>83</v>
      </c>
      <c r="C107" s="48" t="s">
        <v>84</v>
      </c>
      <c r="D107" s="48">
        <v>6</v>
      </c>
      <c r="E107" s="48" t="s">
        <v>341</v>
      </c>
      <c r="F107" s="48"/>
      <c r="G107" s="48" t="s">
        <v>334</v>
      </c>
      <c r="H107" s="48"/>
      <c r="I107" s="48">
        <v>0</v>
      </c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</row>
    <row r="108" spans="1:42" x14ac:dyDescent="0.3">
      <c r="A108" s="48">
        <v>12</v>
      </c>
      <c r="B108" s="92" t="s">
        <v>83</v>
      </c>
      <c r="C108" s="48" t="s">
        <v>84</v>
      </c>
      <c r="D108" s="48">
        <v>7</v>
      </c>
      <c r="E108" s="48" t="s">
        <v>343</v>
      </c>
      <c r="F108" s="48" t="s">
        <v>342</v>
      </c>
      <c r="G108" s="48" t="s">
        <v>338</v>
      </c>
      <c r="H108" s="48" t="s">
        <v>429</v>
      </c>
      <c r="I108" s="48">
        <v>0</v>
      </c>
      <c r="J108" s="127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v>0</v>
      </c>
      <c r="Y108" s="48">
        <v>0</v>
      </c>
      <c r="Z108" s="48">
        <v>0</v>
      </c>
      <c r="AA108" s="48">
        <v>0</v>
      </c>
      <c r="AB108" s="48">
        <v>0</v>
      </c>
      <c r="AC108" s="48">
        <v>0</v>
      </c>
      <c r="AD108" s="48">
        <v>0</v>
      </c>
      <c r="AE108" s="48">
        <v>0</v>
      </c>
      <c r="AF108" s="48">
        <v>0</v>
      </c>
      <c r="AG108" s="48">
        <v>0</v>
      </c>
      <c r="AH108" s="48">
        <v>0</v>
      </c>
      <c r="AI108" s="48">
        <v>0</v>
      </c>
      <c r="AJ108" s="48">
        <v>0</v>
      </c>
      <c r="AK108" s="48">
        <v>0</v>
      </c>
      <c r="AL108" s="48">
        <v>0</v>
      </c>
      <c r="AM108" s="48">
        <v>0</v>
      </c>
      <c r="AN108" s="48">
        <v>0</v>
      </c>
      <c r="AO108" s="48">
        <v>0</v>
      </c>
      <c r="AP108" s="48">
        <v>0</v>
      </c>
    </row>
    <row r="109" spans="1:42" x14ac:dyDescent="0.3">
      <c r="A109" s="48">
        <v>12</v>
      </c>
      <c r="B109" s="92" t="s">
        <v>83</v>
      </c>
      <c r="C109" s="48" t="s">
        <v>84</v>
      </c>
      <c r="D109" s="48">
        <v>8</v>
      </c>
      <c r="E109" s="48" t="s">
        <v>344</v>
      </c>
      <c r="F109" s="48" t="s">
        <v>352</v>
      </c>
      <c r="G109" s="48" t="s">
        <v>350</v>
      </c>
      <c r="H109" s="48"/>
      <c r="I109" s="48">
        <v>0</v>
      </c>
      <c r="J109" s="48">
        <v>0</v>
      </c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</row>
    <row r="110" spans="1:42" x14ac:dyDescent="0.3">
      <c r="A110" s="48">
        <v>12</v>
      </c>
      <c r="B110" s="92" t="s">
        <v>83</v>
      </c>
      <c r="C110" s="48" t="s">
        <v>84</v>
      </c>
      <c r="D110" s="48">
        <v>9</v>
      </c>
      <c r="E110" s="48" t="s">
        <v>345</v>
      </c>
      <c r="F110" s="48" t="s">
        <v>353</v>
      </c>
      <c r="G110" s="48" t="s">
        <v>338</v>
      </c>
      <c r="H110" s="48" t="s">
        <v>429</v>
      </c>
      <c r="I110" s="48">
        <v>0</v>
      </c>
      <c r="J110" s="130">
        <v>0.5</v>
      </c>
      <c r="K110" s="48">
        <v>0.5</v>
      </c>
      <c r="L110" s="48">
        <v>0.5</v>
      </c>
      <c r="M110" s="48">
        <v>0.5</v>
      </c>
      <c r="N110" s="48">
        <v>0.5</v>
      </c>
      <c r="O110" s="48">
        <v>0.5</v>
      </c>
      <c r="P110" s="48">
        <v>0.5</v>
      </c>
      <c r="Q110" s="48">
        <v>0.5</v>
      </c>
      <c r="R110" s="48">
        <v>0.5</v>
      </c>
      <c r="S110" s="48">
        <v>0.5</v>
      </c>
      <c r="T110" s="48">
        <v>0.5</v>
      </c>
      <c r="U110" s="48">
        <v>0.5</v>
      </c>
      <c r="V110" s="48">
        <v>0.5</v>
      </c>
      <c r="W110" s="48">
        <v>0.5</v>
      </c>
      <c r="X110" s="48">
        <v>0.5</v>
      </c>
      <c r="Y110" s="48">
        <v>0.5</v>
      </c>
      <c r="Z110" s="48">
        <v>0.5</v>
      </c>
      <c r="AA110" s="48">
        <v>0.5</v>
      </c>
      <c r="AB110" s="48">
        <v>0.5</v>
      </c>
      <c r="AC110" s="48">
        <v>0.5</v>
      </c>
      <c r="AD110" s="48">
        <v>0.5</v>
      </c>
      <c r="AE110" s="48">
        <v>0.5</v>
      </c>
      <c r="AF110" s="48">
        <v>0.5</v>
      </c>
      <c r="AG110" s="48">
        <v>0.5</v>
      </c>
      <c r="AH110" s="48">
        <v>0.5</v>
      </c>
      <c r="AI110" s="48">
        <v>0.5</v>
      </c>
      <c r="AJ110" s="48">
        <v>0.5</v>
      </c>
      <c r="AK110" s="48">
        <v>0.5</v>
      </c>
      <c r="AL110" s="48">
        <v>0.5</v>
      </c>
      <c r="AM110" s="48">
        <v>0.5</v>
      </c>
      <c r="AN110" s="48">
        <v>0.5</v>
      </c>
      <c r="AO110" s="48">
        <v>0.5</v>
      </c>
      <c r="AP110" s="48">
        <v>0.5</v>
      </c>
    </row>
    <row r="111" spans="1:42" x14ac:dyDescent="0.3">
      <c r="A111" s="48">
        <v>12</v>
      </c>
      <c r="B111" s="92" t="s">
        <v>83</v>
      </c>
      <c r="C111" s="48" t="s">
        <v>84</v>
      </c>
      <c r="D111" s="48">
        <v>10</v>
      </c>
      <c r="E111" s="48" t="s">
        <v>346</v>
      </c>
      <c r="F111" s="48" t="s">
        <v>353</v>
      </c>
      <c r="G111" s="48" t="s">
        <v>350</v>
      </c>
      <c r="H111" s="48"/>
      <c r="I111" s="48">
        <v>0</v>
      </c>
      <c r="J111" s="50">
        <v>1</v>
      </c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</row>
    <row r="112" spans="1:42" x14ac:dyDescent="0.3">
      <c r="A112" s="2">
        <v>14</v>
      </c>
      <c r="B112" s="129" t="s">
        <v>85</v>
      </c>
      <c r="C112" s="2" t="s">
        <v>86</v>
      </c>
      <c r="D112" s="2">
        <v>1</v>
      </c>
      <c r="E112" s="2" t="s">
        <v>333</v>
      </c>
      <c r="F112" s="2" t="s">
        <v>349</v>
      </c>
      <c r="G112" s="2" t="s">
        <v>350</v>
      </c>
      <c r="H112" s="2" t="s">
        <v>439</v>
      </c>
      <c r="I112" s="2">
        <v>0</v>
      </c>
      <c r="J112" s="2">
        <v>1100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x14ac:dyDescent="0.3">
      <c r="A113" s="2">
        <v>14</v>
      </c>
      <c r="B113" s="129" t="s">
        <v>85</v>
      </c>
      <c r="C113" s="2" t="s">
        <v>86</v>
      </c>
      <c r="D113" s="2">
        <v>2</v>
      </c>
      <c r="E113" s="2" t="s">
        <v>335</v>
      </c>
      <c r="F113" s="2" t="s">
        <v>349</v>
      </c>
      <c r="G113" s="2" t="s">
        <v>350</v>
      </c>
      <c r="H113" s="2" t="s">
        <v>439</v>
      </c>
      <c r="I113" s="2">
        <v>0</v>
      </c>
      <c r="J113" s="2">
        <v>35.159999999999997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x14ac:dyDescent="0.3">
      <c r="A114" s="2">
        <v>14</v>
      </c>
      <c r="B114" s="129" t="s">
        <v>85</v>
      </c>
      <c r="C114" s="2" t="s">
        <v>86</v>
      </c>
      <c r="D114" s="2">
        <v>3</v>
      </c>
      <c r="E114" s="2" t="s">
        <v>336</v>
      </c>
      <c r="F114" s="2" t="s">
        <v>337</v>
      </c>
      <c r="G114" s="2" t="s">
        <v>350</v>
      </c>
      <c r="H114" s="2" t="s">
        <v>439</v>
      </c>
      <c r="I114" s="2">
        <v>0</v>
      </c>
      <c r="J114" s="2">
        <v>1.0409961685823754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x14ac:dyDescent="0.3">
      <c r="A115" s="2">
        <v>14</v>
      </c>
      <c r="B115" s="129" t="s">
        <v>85</v>
      </c>
      <c r="C115" s="2" t="s">
        <v>86</v>
      </c>
      <c r="D115" s="2">
        <v>4</v>
      </c>
      <c r="E115" s="2" t="s">
        <v>339</v>
      </c>
      <c r="F115" s="2" t="s">
        <v>352</v>
      </c>
      <c r="G115" s="2" t="s">
        <v>338</v>
      </c>
      <c r="H115" s="2" t="s">
        <v>438</v>
      </c>
      <c r="I115" s="2">
        <v>0</v>
      </c>
      <c r="J115" s="6">
        <v>1.0927</v>
      </c>
      <c r="K115" s="2">
        <v>1.0927</v>
      </c>
      <c r="L115" s="2">
        <v>0.61258000000000001</v>
      </c>
      <c r="M115" s="2">
        <v>0.61258999999999997</v>
      </c>
      <c r="N115" s="2">
        <v>0.49554999999999999</v>
      </c>
      <c r="O115" s="2">
        <v>0.49554999999999999</v>
      </c>
      <c r="P115" s="2">
        <v>0.49554999999999999</v>
      </c>
      <c r="Q115" s="2">
        <v>0.49554999999999999</v>
      </c>
      <c r="R115" s="2">
        <v>0.49554999999999999</v>
      </c>
      <c r="S115" s="2">
        <v>0.49554999999999999</v>
      </c>
      <c r="T115" s="2">
        <v>0.49554999999999999</v>
      </c>
      <c r="U115" s="2">
        <v>0.49554999999999999</v>
      </c>
      <c r="V115" s="2">
        <v>0.49554999999999999</v>
      </c>
      <c r="W115" s="2">
        <v>0.49554999999999999</v>
      </c>
      <c r="X115" s="2">
        <v>0.49554999999999999</v>
      </c>
      <c r="Y115" s="2">
        <v>0.49554999999999999</v>
      </c>
      <c r="Z115" s="2">
        <v>0.49554999999999999</v>
      </c>
      <c r="AA115" s="2">
        <v>0.49554999999999999</v>
      </c>
      <c r="AB115" s="2">
        <v>0.49554999999999999</v>
      </c>
      <c r="AC115" s="2">
        <v>0.49554999999999999</v>
      </c>
      <c r="AD115" s="2">
        <v>0.49554999999999999</v>
      </c>
      <c r="AE115" s="2">
        <v>0.49554999999999999</v>
      </c>
      <c r="AF115" s="2">
        <v>0.49554999999999999</v>
      </c>
      <c r="AG115" s="2">
        <v>0.49554999999999999</v>
      </c>
      <c r="AH115" s="2">
        <v>0.49554999999999999</v>
      </c>
      <c r="AI115" s="2">
        <v>0.49554999999999999</v>
      </c>
      <c r="AJ115" s="2">
        <v>0.49554999999999999</v>
      </c>
      <c r="AK115" s="2">
        <v>0.49554999999999999</v>
      </c>
      <c r="AL115" s="2">
        <v>0.49554999999999999</v>
      </c>
      <c r="AM115" s="2">
        <v>0.49554999999999999</v>
      </c>
      <c r="AN115" s="2">
        <v>0.49554999999999999</v>
      </c>
      <c r="AO115" s="2">
        <v>0.49554999999999999</v>
      </c>
      <c r="AP115" s="2">
        <v>0.49554999999999999</v>
      </c>
    </row>
    <row r="116" spans="1:42" x14ac:dyDescent="0.3">
      <c r="A116" s="2">
        <v>14</v>
      </c>
      <c r="B116" s="129" t="s">
        <v>85</v>
      </c>
      <c r="C116" s="2" t="s">
        <v>86</v>
      </c>
      <c r="D116" s="2">
        <v>5</v>
      </c>
      <c r="E116" s="2" t="s">
        <v>340</v>
      </c>
      <c r="F116" s="2" t="s">
        <v>352</v>
      </c>
      <c r="G116" s="2" t="s">
        <v>338</v>
      </c>
      <c r="H116" s="2" t="s">
        <v>438</v>
      </c>
      <c r="I116" s="2">
        <v>0</v>
      </c>
      <c r="J116" s="6">
        <v>1.0927</v>
      </c>
      <c r="K116" s="2">
        <v>1.0927</v>
      </c>
      <c r="L116" s="2">
        <v>0.61258000000000001</v>
      </c>
      <c r="M116" s="2">
        <v>0.61258999999999997</v>
      </c>
      <c r="N116" s="2">
        <v>0.49554999999999999</v>
      </c>
      <c r="O116" s="2">
        <f>O118/(O120*8760*0.0036*1*0.98)</f>
        <v>0.49555000000000021</v>
      </c>
      <c r="P116" s="2">
        <v>9999</v>
      </c>
      <c r="Q116" s="2">
        <v>9999</v>
      </c>
      <c r="R116" s="2">
        <v>9999</v>
      </c>
      <c r="S116" s="2">
        <v>9999</v>
      </c>
      <c r="T116" s="2">
        <v>9999</v>
      </c>
      <c r="U116" s="2">
        <v>9999</v>
      </c>
      <c r="V116" s="2">
        <v>9999</v>
      </c>
      <c r="W116" s="2">
        <v>9999</v>
      </c>
      <c r="X116" s="2">
        <v>9999</v>
      </c>
      <c r="Y116" s="2">
        <v>9999</v>
      </c>
      <c r="Z116" s="2">
        <v>9999</v>
      </c>
      <c r="AA116" s="2">
        <v>9999</v>
      </c>
      <c r="AB116" s="2">
        <v>9999</v>
      </c>
      <c r="AC116" s="2">
        <v>9999</v>
      </c>
      <c r="AD116" s="2">
        <v>9999</v>
      </c>
      <c r="AE116" s="2">
        <v>9999</v>
      </c>
      <c r="AF116" s="2">
        <v>9999</v>
      </c>
      <c r="AG116" s="2">
        <v>9999</v>
      </c>
      <c r="AH116" s="2">
        <v>9999</v>
      </c>
      <c r="AI116" s="2">
        <v>9999</v>
      </c>
      <c r="AJ116" s="2">
        <v>9999</v>
      </c>
      <c r="AK116" s="2">
        <v>9999</v>
      </c>
      <c r="AL116" s="2">
        <v>9999</v>
      </c>
      <c r="AM116" s="2">
        <v>9999</v>
      </c>
      <c r="AN116" s="2">
        <v>9999</v>
      </c>
      <c r="AO116" s="2">
        <v>9999</v>
      </c>
      <c r="AP116" s="2">
        <v>9999</v>
      </c>
    </row>
    <row r="117" spans="1:42" x14ac:dyDescent="0.3">
      <c r="A117" s="2">
        <v>14</v>
      </c>
      <c r="B117" s="129" t="s">
        <v>85</v>
      </c>
      <c r="C117" s="2" t="s">
        <v>86</v>
      </c>
      <c r="D117" s="2">
        <v>6</v>
      </c>
      <c r="E117" s="2" t="s">
        <v>341</v>
      </c>
      <c r="F117" s="2"/>
      <c r="G117" s="2" t="s">
        <v>334</v>
      </c>
      <c r="H117" s="2"/>
      <c r="I117" s="2">
        <v>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x14ac:dyDescent="0.3">
      <c r="A118" s="2">
        <v>14</v>
      </c>
      <c r="B118" s="129" t="s">
        <v>85</v>
      </c>
      <c r="C118" s="2" t="s">
        <v>86</v>
      </c>
      <c r="D118" s="2">
        <v>7</v>
      </c>
      <c r="E118" s="2" t="s">
        <v>343</v>
      </c>
      <c r="F118" s="2" t="s">
        <v>342</v>
      </c>
      <c r="G118" s="2" t="s">
        <v>338</v>
      </c>
      <c r="H118" s="2" t="s">
        <v>429</v>
      </c>
      <c r="I118" s="2">
        <v>0</v>
      </c>
      <c r="J118" s="2">
        <v>19.730410560000003</v>
      </c>
      <c r="K118" s="2">
        <v>20.952791999999999</v>
      </c>
      <c r="L118" s="2">
        <v>10.486179161639999</v>
      </c>
      <c r="M118" s="2">
        <v>9.6519741947999993</v>
      </c>
      <c r="N118" s="127">
        <v>12.13505709090909</v>
      </c>
      <c r="O118" s="2">
        <v>9.1011251520000052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</row>
    <row r="119" spans="1:42" x14ac:dyDescent="0.3">
      <c r="A119" s="2">
        <v>14</v>
      </c>
      <c r="B119" s="129" t="s">
        <v>85</v>
      </c>
      <c r="C119" s="2" t="s">
        <v>86</v>
      </c>
      <c r="D119" s="2">
        <v>8</v>
      </c>
      <c r="E119" s="2" t="s">
        <v>344</v>
      </c>
      <c r="F119" s="2" t="s">
        <v>352</v>
      </c>
      <c r="G119" s="2" t="s">
        <v>334</v>
      </c>
      <c r="H119" s="2"/>
      <c r="I119" s="2">
        <v>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x14ac:dyDescent="0.3">
      <c r="A120" s="2">
        <v>14</v>
      </c>
      <c r="B120" s="129" t="s">
        <v>85</v>
      </c>
      <c r="C120" s="2" t="s">
        <v>86</v>
      </c>
      <c r="D120" s="2">
        <v>9</v>
      </c>
      <c r="E120" s="2" t="s">
        <v>345</v>
      </c>
      <c r="F120" s="2" t="s">
        <v>353</v>
      </c>
      <c r="G120" s="2" t="s">
        <v>338</v>
      </c>
      <c r="H120" s="2" t="s">
        <v>429</v>
      </c>
      <c r="I120" s="2">
        <v>0</v>
      </c>
      <c r="J120" s="6">
        <v>0.58425507926618037</v>
      </c>
      <c r="K120" s="2">
        <v>0.62045212458101984</v>
      </c>
      <c r="L120" s="2">
        <v>0.5538877719596329</v>
      </c>
      <c r="M120" s="2">
        <v>0.50981612356130546</v>
      </c>
      <c r="N120" s="127">
        <v>0.84450237248497928</v>
      </c>
      <c r="O120" s="2">
        <v>0.59425784458852748</v>
      </c>
      <c r="P120" s="2">
        <v>0.59425784458852748</v>
      </c>
      <c r="Q120" s="2">
        <f>P120</f>
        <v>0.59425784458852748</v>
      </c>
      <c r="R120" s="2">
        <f t="shared" ref="R120:AP120" si="8">Q120</f>
        <v>0.59425784458852748</v>
      </c>
      <c r="S120" s="2">
        <f t="shared" si="8"/>
        <v>0.59425784458852748</v>
      </c>
      <c r="T120" s="2">
        <f t="shared" si="8"/>
        <v>0.59425784458852748</v>
      </c>
      <c r="U120" s="2">
        <f t="shared" si="8"/>
        <v>0.59425784458852748</v>
      </c>
      <c r="V120" s="2">
        <f t="shared" si="8"/>
        <v>0.59425784458852748</v>
      </c>
      <c r="W120" s="2">
        <f t="shared" si="8"/>
        <v>0.59425784458852748</v>
      </c>
      <c r="X120" s="2">
        <f t="shared" si="8"/>
        <v>0.59425784458852748</v>
      </c>
      <c r="Y120" s="2">
        <f t="shared" si="8"/>
        <v>0.59425784458852748</v>
      </c>
      <c r="Z120" s="2">
        <f t="shared" si="8"/>
        <v>0.59425784458852748</v>
      </c>
      <c r="AA120" s="2">
        <f t="shared" si="8"/>
        <v>0.59425784458852748</v>
      </c>
      <c r="AB120" s="2">
        <f t="shared" si="8"/>
        <v>0.59425784458852748</v>
      </c>
      <c r="AC120" s="2">
        <f t="shared" si="8"/>
        <v>0.59425784458852748</v>
      </c>
      <c r="AD120" s="2">
        <f t="shared" si="8"/>
        <v>0.59425784458852748</v>
      </c>
      <c r="AE120" s="2">
        <f t="shared" si="8"/>
        <v>0.59425784458852748</v>
      </c>
      <c r="AF120" s="2">
        <f t="shared" si="8"/>
        <v>0.59425784458852748</v>
      </c>
      <c r="AG120" s="2">
        <f t="shared" si="8"/>
        <v>0.59425784458852748</v>
      </c>
      <c r="AH120" s="2">
        <f t="shared" si="8"/>
        <v>0.59425784458852748</v>
      </c>
      <c r="AI120" s="2">
        <f t="shared" si="8"/>
        <v>0.59425784458852748</v>
      </c>
      <c r="AJ120" s="2">
        <f t="shared" si="8"/>
        <v>0.59425784458852748</v>
      </c>
      <c r="AK120" s="2">
        <f t="shared" si="8"/>
        <v>0.59425784458852748</v>
      </c>
      <c r="AL120" s="2">
        <f t="shared" si="8"/>
        <v>0.59425784458852748</v>
      </c>
      <c r="AM120" s="2">
        <f t="shared" si="8"/>
        <v>0.59425784458852748</v>
      </c>
      <c r="AN120" s="2">
        <f t="shared" si="8"/>
        <v>0.59425784458852748</v>
      </c>
      <c r="AO120" s="2">
        <f t="shared" si="8"/>
        <v>0.59425784458852748</v>
      </c>
      <c r="AP120" s="2">
        <f t="shared" si="8"/>
        <v>0.59425784458852748</v>
      </c>
    </row>
    <row r="121" spans="1:42" x14ac:dyDescent="0.3">
      <c r="A121" s="2">
        <v>14</v>
      </c>
      <c r="B121" s="129" t="s">
        <v>85</v>
      </c>
      <c r="C121" s="2" t="s">
        <v>86</v>
      </c>
      <c r="D121" s="2">
        <v>10</v>
      </c>
      <c r="E121" s="2" t="s">
        <v>346</v>
      </c>
      <c r="F121" s="2" t="s">
        <v>353</v>
      </c>
      <c r="G121" s="2" t="s">
        <v>350</v>
      </c>
      <c r="H121" s="2"/>
      <c r="I121" s="2">
        <v>0</v>
      </c>
      <c r="J121" s="6">
        <v>1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x14ac:dyDescent="0.3">
      <c r="A122" s="48">
        <v>15</v>
      </c>
      <c r="B122" s="92" t="s">
        <v>87</v>
      </c>
      <c r="C122" s="48" t="s">
        <v>88</v>
      </c>
      <c r="D122" s="48">
        <v>1</v>
      </c>
      <c r="E122" s="48" t="s">
        <v>333</v>
      </c>
      <c r="F122" s="48" t="s">
        <v>349</v>
      </c>
      <c r="G122" s="48" t="s">
        <v>338</v>
      </c>
      <c r="H122" s="48" t="s">
        <v>440</v>
      </c>
      <c r="I122" s="48">
        <v>0</v>
      </c>
      <c r="J122" s="48">
        <v>1084</v>
      </c>
      <c r="K122" s="48">
        <v>1084</v>
      </c>
      <c r="L122" s="48">
        <v>1084</v>
      </c>
      <c r="M122" s="48">
        <v>1010.741288278775</v>
      </c>
      <c r="N122" s="48">
        <v>1005.0179514255543</v>
      </c>
      <c r="O122" s="48">
        <v>991.28194297782466</v>
      </c>
      <c r="P122" s="48">
        <v>982.12460401267163</v>
      </c>
      <c r="Q122" s="48">
        <v>975.25659978880674</v>
      </c>
      <c r="R122" s="48">
        <v>967.24392819429772</v>
      </c>
      <c r="S122" s="48">
        <v>961.52059134107697</v>
      </c>
      <c r="T122" s="48">
        <v>955.79725448785632</v>
      </c>
      <c r="U122" s="48">
        <v>952.36325237592393</v>
      </c>
      <c r="V122" s="48">
        <v>946.63991552270318</v>
      </c>
      <c r="W122" s="48">
        <v>943.20591341077079</v>
      </c>
      <c r="X122" s="48">
        <v>938.62724392819428</v>
      </c>
      <c r="Y122" s="48">
        <v>935.19324181626178</v>
      </c>
      <c r="Z122" s="48">
        <v>930.61457233368526</v>
      </c>
      <c r="AA122" s="48">
        <v>927.18057022175276</v>
      </c>
      <c r="AB122" s="48">
        <v>922.60190073917624</v>
      </c>
      <c r="AC122" s="48">
        <v>919.16789862724386</v>
      </c>
      <c r="AD122" s="48">
        <v>914.58922914466734</v>
      </c>
      <c r="AE122" s="48">
        <v>911.15522703273484</v>
      </c>
      <c r="AF122" s="48">
        <v>907.72122492080234</v>
      </c>
      <c r="AG122" s="48">
        <v>903.14255543822594</v>
      </c>
      <c r="AH122" s="48">
        <v>899.70855332629344</v>
      </c>
      <c r="AI122" s="48">
        <v>895.12988384371681</v>
      </c>
      <c r="AJ122" s="48">
        <v>891.69588173178454</v>
      </c>
      <c r="AK122" s="48">
        <v>887.11721224920802</v>
      </c>
      <c r="AL122" s="48">
        <v>883.68321013727564</v>
      </c>
      <c r="AM122" s="48">
        <v>879.10454065469901</v>
      </c>
      <c r="AN122" s="48">
        <v>876.81520591341064</v>
      </c>
      <c r="AO122" s="48">
        <v>874.52587117212238</v>
      </c>
      <c r="AP122" s="48">
        <v>874.52587117212238</v>
      </c>
    </row>
    <row r="123" spans="1:42" x14ac:dyDescent="0.3">
      <c r="A123" s="48">
        <v>15</v>
      </c>
      <c r="B123" s="92" t="s">
        <v>87</v>
      </c>
      <c r="C123" s="48" t="s">
        <v>88</v>
      </c>
      <c r="D123" s="48">
        <v>2</v>
      </c>
      <c r="E123" s="48" t="s">
        <v>335</v>
      </c>
      <c r="F123" s="48" t="s">
        <v>349</v>
      </c>
      <c r="G123" s="48" t="s">
        <v>350</v>
      </c>
      <c r="H123" s="48" t="s">
        <v>440</v>
      </c>
      <c r="I123" s="48">
        <v>0</v>
      </c>
      <c r="J123" s="48">
        <v>14.1</v>
      </c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</row>
    <row r="124" spans="1:42" x14ac:dyDescent="0.3">
      <c r="A124" s="48">
        <v>15</v>
      </c>
      <c r="B124" s="92" t="s">
        <v>87</v>
      </c>
      <c r="C124" s="48" t="s">
        <v>88</v>
      </c>
      <c r="D124" s="48">
        <v>3</v>
      </c>
      <c r="E124" s="48" t="s">
        <v>336</v>
      </c>
      <c r="F124" s="48" t="s">
        <v>337</v>
      </c>
      <c r="G124" s="48" t="s">
        <v>338</v>
      </c>
      <c r="H124" s="48" t="s">
        <v>440</v>
      </c>
      <c r="I124" s="48">
        <v>0</v>
      </c>
      <c r="J124" s="48">
        <v>0.37533401180208015</v>
      </c>
      <c r="K124" s="48">
        <v>0.35273374559244275</v>
      </c>
      <c r="L124" s="48">
        <v>0.28613070419299563</v>
      </c>
      <c r="M124" s="48">
        <v>0.39800386712449315</v>
      </c>
      <c r="N124" s="48">
        <v>0.46330255865948261</v>
      </c>
      <c r="O124" s="48">
        <v>0.37510097747429882</v>
      </c>
      <c r="P124" s="48">
        <v>0.37510097747429882</v>
      </c>
      <c r="Q124" s="48">
        <v>0.37510097747429882</v>
      </c>
      <c r="R124" s="48">
        <v>0.37510097747429882</v>
      </c>
      <c r="S124" s="48">
        <v>0.37510097747429882</v>
      </c>
      <c r="T124" s="48">
        <v>0.37510097747429882</v>
      </c>
      <c r="U124" s="48">
        <v>0.37510097747429882</v>
      </c>
      <c r="V124" s="48">
        <v>0.37510097747429882</v>
      </c>
      <c r="W124" s="48">
        <v>0.37510097747429882</v>
      </c>
      <c r="X124" s="48">
        <v>0.37510097747429882</v>
      </c>
      <c r="Y124" s="48">
        <v>0.37510097747429882</v>
      </c>
      <c r="Z124" s="48">
        <v>0.37510097747429882</v>
      </c>
      <c r="AA124" s="48">
        <v>0.37510097747429882</v>
      </c>
      <c r="AB124" s="48">
        <v>0.37510097747429882</v>
      </c>
      <c r="AC124" s="48">
        <v>0.37510097747429882</v>
      </c>
      <c r="AD124" s="48">
        <v>0.37510097747429882</v>
      </c>
      <c r="AE124" s="48">
        <v>0.37510097747429882</v>
      </c>
      <c r="AF124" s="48">
        <v>0.37510097747429882</v>
      </c>
      <c r="AG124" s="48">
        <v>0.37510097747429882</v>
      </c>
      <c r="AH124" s="48">
        <v>0.37510097747429882</v>
      </c>
      <c r="AI124" s="48">
        <v>0.37510097747429882</v>
      </c>
      <c r="AJ124" s="48">
        <v>0.37510097747429882</v>
      </c>
      <c r="AK124" s="48">
        <v>0.37510097747429882</v>
      </c>
      <c r="AL124" s="48">
        <v>0.37510097747429882</v>
      </c>
      <c r="AM124" s="48">
        <v>0.37510097747429882</v>
      </c>
      <c r="AN124" s="48">
        <v>0.37510097747429882</v>
      </c>
      <c r="AO124" s="48">
        <v>0.37510097747429882</v>
      </c>
      <c r="AP124" s="48">
        <v>0.37510097747429882</v>
      </c>
    </row>
    <row r="125" spans="1:42" x14ac:dyDescent="0.3">
      <c r="A125" s="48">
        <v>15</v>
      </c>
      <c r="B125" s="92" t="s">
        <v>87</v>
      </c>
      <c r="C125" s="48" t="s">
        <v>88</v>
      </c>
      <c r="D125" s="48">
        <v>4</v>
      </c>
      <c r="E125" s="48" t="s">
        <v>339</v>
      </c>
      <c r="F125" s="48" t="s">
        <v>352</v>
      </c>
      <c r="G125" s="48" t="s">
        <v>350</v>
      </c>
      <c r="H125" s="48" t="s">
        <v>438</v>
      </c>
      <c r="I125" s="48">
        <v>0</v>
      </c>
      <c r="J125" s="50">
        <v>0.17194999999999999</v>
      </c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</row>
    <row r="126" spans="1:42" x14ac:dyDescent="0.3">
      <c r="A126" s="48">
        <v>15</v>
      </c>
      <c r="B126" s="92" t="s">
        <v>87</v>
      </c>
      <c r="C126" s="48" t="s">
        <v>88</v>
      </c>
      <c r="D126" s="48">
        <v>5</v>
      </c>
      <c r="E126" s="48" t="s">
        <v>340</v>
      </c>
      <c r="F126" s="48" t="s">
        <v>352</v>
      </c>
      <c r="G126" s="48" t="s">
        <v>338</v>
      </c>
      <c r="H126" s="48" t="s">
        <v>438</v>
      </c>
      <c r="I126" s="48">
        <v>0</v>
      </c>
      <c r="J126" s="50">
        <v>0.17194999999999999</v>
      </c>
      <c r="K126" s="48">
        <v>0.22320000000000001</v>
      </c>
      <c r="L126" s="48">
        <v>0.67320000000000002</v>
      </c>
      <c r="M126" s="48">
        <v>0.67369000000000001</v>
      </c>
      <c r="N126" s="48">
        <v>0.67373000000000005</v>
      </c>
      <c r="O126" s="48">
        <v>0.67373000000000005</v>
      </c>
      <c r="P126" s="127">
        <f>O126</f>
        <v>0.67373000000000005</v>
      </c>
      <c r="Q126" s="127">
        <f t="shared" ref="Q126:AP126" si="9">P126</f>
        <v>0.67373000000000005</v>
      </c>
      <c r="R126" s="127">
        <f t="shared" si="9"/>
        <v>0.67373000000000005</v>
      </c>
      <c r="S126" s="127">
        <f t="shared" si="9"/>
        <v>0.67373000000000005</v>
      </c>
      <c r="T126" s="127">
        <f t="shared" si="9"/>
        <v>0.67373000000000005</v>
      </c>
      <c r="U126" s="127">
        <f t="shared" si="9"/>
        <v>0.67373000000000005</v>
      </c>
      <c r="V126" s="127">
        <f t="shared" si="9"/>
        <v>0.67373000000000005</v>
      </c>
      <c r="W126" s="127">
        <f t="shared" si="9"/>
        <v>0.67373000000000005</v>
      </c>
      <c r="X126" s="127">
        <f t="shared" si="9"/>
        <v>0.67373000000000005</v>
      </c>
      <c r="Y126" s="127">
        <f t="shared" si="9"/>
        <v>0.67373000000000005</v>
      </c>
      <c r="Z126" s="127">
        <f t="shared" si="9"/>
        <v>0.67373000000000005</v>
      </c>
      <c r="AA126" s="127">
        <f t="shared" si="9"/>
        <v>0.67373000000000005</v>
      </c>
      <c r="AB126" s="127">
        <f t="shared" si="9"/>
        <v>0.67373000000000005</v>
      </c>
      <c r="AC126" s="127">
        <f t="shared" si="9"/>
        <v>0.67373000000000005</v>
      </c>
      <c r="AD126" s="127">
        <f t="shared" si="9"/>
        <v>0.67373000000000005</v>
      </c>
      <c r="AE126" s="127">
        <f t="shared" si="9"/>
        <v>0.67373000000000005</v>
      </c>
      <c r="AF126" s="127">
        <f t="shared" si="9"/>
        <v>0.67373000000000005</v>
      </c>
      <c r="AG126" s="127">
        <f t="shared" si="9"/>
        <v>0.67373000000000005</v>
      </c>
      <c r="AH126" s="127">
        <f t="shared" si="9"/>
        <v>0.67373000000000005</v>
      </c>
      <c r="AI126" s="127">
        <f t="shared" si="9"/>
        <v>0.67373000000000005</v>
      </c>
      <c r="AJ126" s="127">
        <f t="shared" si="9"/>
        <v>0.67373000000000005</v>
      </c>
      <c r="AK126" s="127">
        <f t="shared" si="9"/>
        <v>0.67373000000000005</v>
      </c>
      <c r="AL126" s="127">
        <f t="shared" si="9"/>
        <v>0.67373000000000005</v>
      </c>
      <c r="AM126" s="127">
        <f t="shared" si="9"/>
        <v>0.67373000000000005</v>
      </c>
      <c r="AN126" s="127">
        <f t="shared" si="9"/>
        <v>0.67373000000000005</v>
      </c>
      <c r="AO126" s="127">
        <f t="shared" si="9"/>
        <v>0.67373000000000005</v>
      </c>
      <c r="AP126" s="127">
        <f t="shared" si="9"/>
        <v>0.67373000000000005</v>
      </c>
    </row>
    <row r="127" spans="1:42" x14ac:dyDescent="0.3">
      <c r="A127" s="48">
        <v>15</v>
      </c>
      <c r="B127" s="92" t="s">
        <v>87</v>
      </c>
      <c r="C127" s="48" t="s">
        <v>88</v>
      </c>
      <c r="D127" s="48">
        <v>6</v>
      </c>
      <c r="E127" s="48" t="s">
        <v>341</v>
      </c>
      <c r="F127" s="48"/>
      <c r="G127" s="48" t="s">
        <v>334</v>
      </c>
      <c r="H127" s="48"/>
      <c r="I127" s="48">
        <v>0</v>
      </c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</row>
    <row r="128" spans="1:42" x14ac:dyDescent="0.3">
      <c r="A128" s="48">
        <v>15</v>
      </c>
      <c r="B128" s="92" t="s">
        <v>87</v>
      </c>
      <c r="C128" s="48" t="s">
        <v>88</v>
      </c>
      <c r="D128" s="48">
        <v>7</v>
      </c>
      <c r="E128" s="48" t="s">
        <v>343</v>
      </c>
      <c r="F128" s="48" t="s">
        <v>342</v>
      </c>
      <c r="G128" s="48" t="s">
        <v>338</v>
      </c>
      <c r="H128" s="48" t="s">
        <v>429</v>
      </c>
      <c r="I128" s="48">
        <v>0</v>
      </c>
      <c r="J128" s="63">
        <v>4.2274612799999982</v>
      </c>
      <c r="K128" s="63">
        <v>4.184560799999999</v>
      </c>
      <c r="L128" s="63">
        <v>7.8063393653280002</v>
      </c>
      <c r="M128" s="63">
        <v>9.2678247043199988</v>
      </c>
      <c r="N128" s="63">
        <v>14.277816</v>
      </c>
      <c r="O128" s="63">
        <v>12.373526483012736</v>
      </c>
      <c r="P128" s="63">
        <f>P126*P130*0.0036*8760*1*0.98</f>
        <v>10.410907147200001</v>
      </c>
      <c r="Q128" s="63">
        <f t="shared" ref="Q128:AP128" si="10">Q126*Q130*0.0036*8760*1*0.98</f>
        <v>10.410907147200001</v>
      </c>
      <c r="R128" s="63">
        <f t="shared" si="10"/>
        <v>10.410907147200001</v>
      </c>
      <c r="S128" s="63">
        <f t="shared" si="10"/>
        <v>10.410907147200001</v>
      </c>
      <c r="T128" s="63">
        <f t="shared" si="10"/>
        <v>10.410907147200001</v>
      </c>
      <c r="U128" s="63">
        <f t="shared" si="10"/>
        <v>10.410907147200001</v>
      </c>
      <c r="V128" s="63">
        <f t="shared" si="10"/>
        <v>10.410907147200001</v>
      </c>
      <c r="W128" s="63">
        <f t="shared" si="10"/>
        <v>10.410907147200001</v>
      </c>
      <c r="X128" s="63">
        <f t="shared" si="10"/>
        <v>10.410907147200001</v>
      </c>
      <c r="Y128" s="63">
        <f t="shared" si="10"/>
        <v>10.410907147200001</v>
      </c>
      <c r="Z128" s="63">
        <f t="shared" si="10"/>
        <v>10.410907147200001</v>
      </c>
      <c r="AA128" s="63">
        <f t="shared" si="10"/>
        <v>10.410907147200001</v>
      </c>
      <c r="AB128" s="63">
        <f t="shared" si="10"/>
        <v>10.410907147200001</v>
      </c>
      <c r="AC128" s="63">
        <f t="shared" si="10"/>
        <v>10.410907147200001</v>
      </c>
      <c r="AD128" s="63">
        <f t="shared" si="10"/>
        <v>10.410907147200001</v>
      </c>
      <c r="AE128" s="63">
        <f t="shared" si="10"/>
        <v>10.410907147200001</v>
      </c>
      <c r="AF128" s="63">
        <f t="shared" si="10"/>
        <v>10.410907147200001</v>
      </c>
      <c r="AG128" s="63">
        <f t="shared" si="10"/>
        <v>10.410907147200001</v>
      </c>
      <c r="AH128" s="63">
        <f t="shared" si="10"/>
        <v>10.410907147200001</v>
      </c>
      <c r="AI128" s="63">
        <f t="shared" si="10"/>
        <v>10.410907147200001</v>
      </c>
      <c r="AJ128" s="63">
        <f t="shared" si="10"/>
        <v>10.410907147200001</v>
      </c>
      <c r="AK128" s="63">
        <f t="shared" si="10"/>
        <v>10.410907147200001</v>
      </c>
      <c r="AL128" s="63">
        <f t="shared" si="10"/>
        <v>10.410907147200001</v>
      </c>
      <c r="AM128" s="63">
        <f t="shared" si="10"/>
        <v>10.410907147200001</v>
      </c>
      <c r="AN128" s="63">
        <f t="shared" si="10"/>
        <v>10.410907147200001</v>
      </c>
      <c r="AO128" s="63">
        <f t="shared" si="10"/>
        <v>10.410907147200001</v>
      </c>
      <c r="AP128" s="63">
        <f t="shared" si="10"/>
        <v>10.410907147200001</v>
      </c>
    </row>
    <row r="129" spans="1:42" x14ac:dyDescent="0.3">
      <c r="A129" s="48">
        <v>15</v>
      </c>
      <c r="B129" s="92" t="s">
        <v>87</v>
      </c>
      <c r="C129" s="48" t="s">
        <v>88</v>
      </c>
      <c r="D129" s="48">
        <v>8</v>
      </c>
      <c r="E129" s="48" t="s">
        <v>344</v>
      </c>
      <c r="F129" s="48" t="s">
        <v>352</v>
      </c>
      <c r="G129" s="48" t="s">
        <v>334</v>
      </c>
      <c r="H129" s="48"/>
      <c r="I129" s="48">
        <v>0</v>
      </c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</row>
    <row r="130" spans="1:42" x14ac:dyDescent="0.3">
      <c r="A130" s="48">
        <v>15</v>
      </c>
      <c r="B130" s="92" t="s">
        <v>87</v>
      </c>
      <c r="C130" s="48" t="s">
        <v>88</v>
      </c>
      <c r="D130" s="48">
        <v>9</v>
      </c>
      <c r="E130" s="48" t="s">
        <v>345</v>
      </c>
      <c r="F130" s="48" t="s">
        <v>353</v>
      </c>
      <c r="G130" s="48" t="s">
        <v>338</v>
      </c>
      <c r="H130" s="48" t="s">
        <v>429</v>
      </c>
      <c r="I130" s="48">
        <v>0</v>
      </c>
      <c r="J130" s="63">
        <v>0.79550841077567147</v>
      </c>
      <c r="K130" s="63">
        <v>0.60662877857972863</v>
      </c>
      <c r="L130" s="63">
        <v>0.37520674546973903</v>
      </c>
      <c r="M130" s="63">
        <v>0.44512811638972466</v>
      </c>
      <c r="N130" s="63">
        <v>0.6857143089514538</v>
      </c>
      <c r="O130" s="63">
        <v>0.59425784458852748</v>
      </c>
      <c r="P130" s="63">
        <v>0.5</v>
      </c>
      <c r="Q130" s="63">
        <v>0.5</v>
      </c>
      <c r="R130" s="63">
        <v>0.5</v>
      </c>
      <c r="S130" s="63">
        <f>R130+($AP$130-$R$130)/(50-26)</f>
        <v>0.5</v>
      </c>
      <c r="T130" s="63">
        <f t="shared" ref="T130:AO130" si="11">S130+($AP$130-$R$130)/(50-26)</f>
        <v>0.5</v>
      </c>
      <c r="U130" s="63">
        <f t="shared" si="11"/>
        <v>0.5</v>
      </c>
      <c r="V130" s="63">
        <f t="shared" si="11"/>
        <v>0.5</v>
      </c>
      <c r="W130" s="63">
        <f t="shared" si="11"/>
        <v>0.5</v>
      </c>
      <c r="X130" s="63">
        <f t="shared" si="11"/>
        <v>0.5</v>
      </c>
      <c r="Y130" s="63">
        <f t="shared" si="11"/>
        <v>0.5</v>
      </c>
      <c r="Z130" s="63">
        <f t="shared" si="11"/>
        <v>0.5</v>
      </c>
      <c r="AA130" s="63">
        <f t="shared" si="11"/>
        <v>0.5</v>
      </c>
      <c r="AB130" s="63">
        <f t="shared" si="11"/>
        <v>0.5</v>
      </c>
      <c r="AC130" s="63">
        <f t="shared" si="11"/>
        <v>0.5</v>
      </c>
      <c r="AD130" s="63">
        <f t="shared" si="11"/>
        <v>0.5</v>
      </c>
      <c r="AE130" s="63">
        <f t="shared" si="11"/>
        <v>0.5</v>
      </c>
      <c r="AF130" s="63">
        <f t="shared" si="11"/>
        <v>0.5</v>
      </c>
      <c r="AG130" s="63">
        <f t="shared" si="11"/>
        <v>0.5</v>
      </c>
      <c r="AH130" s="63">
        <f t="shared" si="11"/>
        <v>0.5</v>
      </c>
      <c r="AI130" s="63">
        <f t="shared" si="11"/>
        <v>0.5</v>
      </c>
      <c r="AJ130" s="63">
        <f t="shared" si="11"/>
        <v>0.5</v>
      </c>
      <c r="AK130" s="63">
        <f t="shared" si="11"/>
        <v>0.5</v>
      </c>
      <c r="AL130" s="63">
        <f t="shared" si="11"/>
        <v>0.5</v>
      </c>
      <c r="AM130" s="63">
        <f t="shared" si="11"/>
        <v>0.5</v>
      </c>
      <c r="AN130" s="63">
        <f t="shared" si="11"/>
        <v>0.5</v>
      </c>
      <c r="AO130" s="63">
        <f t="shared" si="11"/>
        <v>0.5</v>
      </c>
      <c r="AP130" s="63">
        <v>0.5</v>
      </c>
    </row>
    <row r="131" spans="1:42" ht="15" thickBot="1" x14ac:dyDescent="0.35">
      <c r="A131" s="95">
        <v>15</v>
      </c>
      <c r="B131" s="128" t="s">
        <v>87</v>
      </c>
      <c r="C131" s="95" t="s">
        <v>88</v>
      </c>
      <c r="D131" s="95">
        <v>10</v>
      </c>
      <c r="E131" s="95" t="s">
        <v>346</v>
      </c>
      <c r="F131" s="95" t="s">
        <v>353</v>
      </c>
      <c r="G131" s="95" t="s">
        <v>350</v>
      </c>
      <c r="H131" s="95"/>
      <c r="I131" s="95">
        <v>0</v>
      </c>
      <c r="J131" s="96">
        <v>1</v>
      </c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</row>
    <row r="132" spans="1:42" s="77" customFormat="1" x14ac:dyDescent="0.3">
      <c r="A132" s="97">
        <f t="shared" ref="A132" si="12">A122+1</f>
        <v>16</v>
      </c>
      <c r="B132" s="98" t="s">
        <v>447</v>
      </c>
      <c r="C132" s="98" t="s">
        <v>448</v>
      </c>
      <c r="D132" s="98">
        <v>1</v>
      </c>
      <c r="E132" s="98" t="s">
        <v>333</v>
      </c>
      <c r="F132" s="98" t="s">
        <v>349</v>
      </c>
      <c r="G132" s="98" t="s">
        <v>338</v>
      </c>
      <c r="H132" s="98" t="s">
        <v>440</v>
      </c>
      <c r="I132" s="98">
        <v>0</v>
      </c>
      <c r="J132" s="99">
        <v>1084</v>
      </c>
      <c r="K132" s="93">
        <v>1084</v>
      </c>
      <c r="L132" s="76">
        <v>1084</v>
      </c>
      <c r="M132" s="76">
        <v>1010.741288278775</v>
      </c>
      <c r="N132" s="76">
        <v>1005.0179514255543</v>
      </c>
      <c r="O132" s="76">
        <v>991.28194297782466</v>
      </c>
      <c r="P132" s="76">
        <v>982.12460401267163</v>
      </c>
      <c r="Q132" s="76">
        <v>975.25659978880674</v>
      </c>
      <c r="R132" s="76">
        <v>967.24392819429772</v>
      </c>
      <c r="S132" s="76">
        <v>961.52059134107697</v>
      </c>
      <c r="T132" s="76">
        <v>955.79725448785632</v>
      </c>
      <c r="U132" s="76">
        <v>952.36325237592393</v>
      </c>
      <c r="V132" s="76">
        <v>946.63991552270318</v>
      </c>
      <c r="W132" s="76">
        <v>943.20591341077079</v>
      </c>
      <c r="X132" s="76">
        <v>938.62724392819428</v>
      </c>
      <c r="Y132" s="76">
        <v>935.19324181626178</v>
      </c>
      <c r="Z132" s="76">
        <v>930.61457233368526</v>
      </c>
      <c r="AA132" s="76">
        <v>927.18057022175276</v>
      </c>
      <c r="AB132" s="76">
        <v>922.60190073917624</v>
      </c>
      <c r="AC132" s="76">
        <v>919.16789862724386</v>
      </c>
      <c r="AD132" s="76">
        <v>914.58922914466734</v>
      </c>
      <c r="AE132" s="76">
        <v>911.15522703273484</v>
      </c>
      <c r="AF132" s="76">
        <v>907.72122492080234</v>
      </c>
      <c r="AG132" s="76">
        <v>903.14255543822594</v>
      </c>
      <c r="AH132" s="76">
        <v>899.70855332629344</v>
      </c>
      <c r="AI132" s="76">
        <v>895.12988384371681</v>
      </c>
      <c r="AJ132" s="76">
        <v>891.69588173178454</v>
      </c>
      <c r="AK132" s="76">
        <v>887.11721224920802</v>
      </c>
      <c r="AL132" s="76">
        <v>883.68321013727564</v>
      </c>
      <c r="AM132" s="76">
        <v>879.10454065469901</v>
      </c>
      <c r="AN132" s="76">
        <v>876.81520591341064</v>
      </c>
      <c r="AO132" s="76">
        <v>874.52587117212238</v>
      </c>
      <c r="AP132" s="76">
        <v>874.52587117212238</v>
      </c>
    </row>
    <row r="133" spans="1:42" s="77" customFormat="1" x14ac:dyDescent="0.3">
      <c r="A133" s="100">
        <f t="shared" ref="A133:A141" si="13">A132</f>
        <v>16</v>
      </c>
      <c r="B133" s="76" t="s">
        <v>447</v>
      </c>
      <c r="C133" s="76" t="s">
        <v>448</v>
      </c>
      <c r="D133" s="76">
        <v>2</v>
      </c>
      <c r="E133" s="76" t="s">
        <v>335</v>
      </c>
      <c r="F133" s="76" t="s">
        <v>349</v>
      </c>
      <c r="G133" s="76" t="s">
        <v>350</v>
      </c>
      <c r="H133" s="76" t="s">
        <v>440</v>
      </c>
      <c r="I133" s="76">
        <v>0</v>
      </c>
      <c r="J133" s="101">
        <v>14.1</v>
      </c>
      <c r="K133" s="93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</row>
    <row r="134" spans="1:42" s="77" customFormat="1" x14ac:dyDescent="0.3">
      <c r="A134" s="100">
        <f t="shared" si="13"/>
        <v>16</v>
      </c>
      <c r="B134" s="76" t="s">
        <v>447</v>
      </c>
      <c r="C134" s="76" t="s">
        <v>448</v>
      </c>
      <c r="D134" s="76">
        <v>3</v>
      </c>
      <c r="E134" s="76" t="s">
        <v>336</v>
      </c>
      <c r="F134" s="76" t="s">
        <v>337</v>
      </c>
      <c r="G134" s="76" t="s">
        <v>338</v>
      </c>
      <c r="H134" s="76" t="s">
        <v>440</v>
      </c>
      <c r="I134" s="76">
        <v>0</v>
      </c>
      <c r="J134" s="102">
        <v>0.37533401180208015</v>
      </c>
      <c r="K134" s="94">
        <v>0.35273374559244275</v>
      </c>
      <c r="L134" s="78">
        <v>0.28613070419299563</v>
      </c>
      <c r="M134" s="78">
        <v>0.39800386712449315</v>
      </c>
      <c r="N134" s="78">
        <v>0.46330255865948261</v>
      </c>
      <c r="O134" s="78">
        <v>0.37510097747429882</v>
      </c>
      <c r="P134" s="78">
        <v>0.37510097747429882</v>
      </c>
      <c r="Q134" s="78">
        <v>0.37510097747429882</v>
      </c>
      <c r="R134" s="78">
        <v>0.37510097747429882</v>
      </c>
      <c r="S134" s="78">
        <v>0.37510097747429882</v>
      </c>
      <c r="T134" s="78">
        <v>0.37510097747429882</v>
      </c>
      <c r="U134" s="78">
        <v>0.37510097747429882</v>
      </c>
      <c r="V134" s="78">
        <v>0.37510097747429882</v>
      </c>
      <c r="W134" s="78">
        <v>0.37510097747429882</v>
      </c>
      <c r="X134" s="78">
        <v>0.37510097747429882</v>
      </c>
      <c r="Y134" s="78">
        <v>0.37510097747429882</v>
      </c>
      <c r="Z134" s="78">
        <v>0.37510097747429882</v>
      </c>
      <c r="AA134" s="78">
        <v>0.37510097747429882</v>
      </c>
      <c r="AB134" s="78">
        <v>0.37510097747429882</v>
      </c>
      <c r="AC134" s="78">
        <v>0.37510097747429882</v>
      </c>
      <c r="AD134" s="78">
        <v>0.37510097747429882</v>
      </c>
      <c r="AE134" s="78">
        <v>0.37510097747429882</v>
      </c>
      <c r="AF134" s="78">
        <v>0.37510097747429882</v>
      </c>
      <c r="AG134" s="78">
        <v>0.37510097747429882</v>
      </c>
      <c r="AH134" s="78">
        <v>0.37510097747429882</v>
      </c>
      <c r="AI134" s="78">
        <v>0.37510097747429882</v>
      </c>
      <c r="AJ134" s="78">
        <v>0.37510097747429882</v>
      </c>
      <c r="AK134" s="78">
        <v>0.37510097747429882</v>
      </c>
      <c r="AL134" s="78">
        <v>0.37510097747429882</v>
      </c>
      <c r="AM134" s="78">
        <v>0.37510097747429882</v>
      </c>
      <c r="AN134" s="78">
        <v>0.37510097747429882</v>
      </c>
      <c r="AO134" s="78">
        <v>0.37510097747429882</v>
      </c>
      <c r="AP134" s="78">
        <v>0.37510097747429882</v>
      </c>
    </row>
    <row r="135" spans="1:42" s="77" customFormat="1" x14ac:dyDescent="0.3">
      <c r="A135" s="100">
        <f t="shared" si="13"/>
        <v>16</v>
      </c>
      <c r="B135" s="76" t="s">
        <v>447</v>
      </c>
      <c r="C135" s="76" t="s">
        <v>448</v>
      </c>
      <c r="D135" s="76">
        <v>4</v>
      </c>
      <c r="E135" s="76" t="s">
        <v>339</v>
      </c>
      <c r="F135" s="76" t="s">
        <v>352</v>
      </c>
      <c r="G135" s="76" t="s">
        <v>350</v>
      </c>
      <c r="H135" s="76" t="s">
        <v>449</v>
      </c>
      <c r="I135" s="76">
        <v>0</v>
      </c>
      <c r="J135" s="103">
        <v>0.12113617243574545</v>
      </c>
      <c r="K135" s="93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</row>
    <row r="136" spans="1:42" s="77" customFormat="1" x14ac:dyDescent="0.3">
      <c r="A136" s="100">
        <f t="shared" si="13"/>
        <v>16</v>
      </c>
      <c r="B136" s="76" t="s">
        <v>447</v>
      </c>
      <c r="C136" s="76" t="s">
        <v>448</v>
      </c>
      <c r="D136" s="76">
        <v>5</v>
      </c>
      <c r="E136" s="76" t="s">
        <v>340</v>
      </c>
      <c r="F136" s="76" t="s">
        <v>352</v>
      </c>
      <c r="G136" s="50" t="s">
        <v>334</v>
      </c>
      <c r="H136" s="76"/>
      <c r="I136" s="76">
        <v>0</v>
      </c>
      <c r="J136" s="102"/>
      <c r="K136" s="94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</row>
    <row r="137" spans="1:42" s="77" customFormat="1" x14ac:dyDescent="0.3">
      <c r="A137" s="100">
        <f t="shared" si="13"/>
        <v>16</v>
      </c>
      <c r="B137" s="76" t="s">
        <v>447</v>
      </c>
      <c r="C137" s="76" t="s">
        <v>448</v>
      </c>
      <c r="D137" s="76">
        <v>6</v>
      </c>
      <c r="E137" s="76" t="s">
        <v>341</v>
      </c>
      <c r="F137" s="76"/>
      <c r="G137" s="76" t="s">
        <v>338</v>
      </c>
      <c r="H137" s="76" t="s">
        <v>449</v>
      </c>
      <c r="I137" s="76">
        <v>0</v>
      </c>
      <c r="J137" s="114">
        <v>1.058676607</v>
      </c>
      <c r="K137" s="115">
        <v>1.5566033999999999E-2</v>
      </c>
      <c r="L137" s="116">
        <v>2.2411981000000001E-2</v>
      </c>
      <c r="M137" s="116">
        <v>1.4540709000000001E-2</v>
      </c>
      <c r="N137" s="116">
        <v>1.5123635999999999E-2</v>
      </c>
      <c r="O137" s="78">
        <f>N137</f>
        <v>1.5123635999999999E-2</v>
      </c>
      <c r="P137" s="78">
        <f t="shared" ref="P137:AP138" si="14">O137</f>
        <v>1.5123635999999999E-2</v>
      </c>
      <c r="Q137" s="78">
        <f t="shared" si="14"/>
        <v>1.5123635999999999E-2</v>
      </c>
      <c r="R137" s="78">
        <f t="shared" si="14"/>
        <v>1.5123635999999999E-2</v>
      </c>
      <c r="S137" s="78">
        <f t="shared" si="14"/>
        <v>1.5123635999999999E-2</v>
      </c>
      <c r="T137" s="78">
        <f t="shared" si="14"/>
        <v>1.5123635999999999E-2</v>
      </c>
      <c r="U137" s="78">
        <f t="shared" si="14"/>
        <v>1.5123635999999999E-2</v>
      </c>
      <c r="V137" s="78">
        <f t="shared" si="14"/>
        <v>1.5123635999999999E-2</v>
      </c>
      <c r="W137" s="78">
        <f t="shared" si="14"/>
        <v>1.5123635999999999E-2</v>
      </c>
      <c r="X137" s="78">
        <f t="shared" si="14"/>
        <v>1.5123635999999999E-2</v>
      </c>
      <c r="Y137" s="78">
        <f t="shared" si="14"/>
        <v>1.5123635999999999E-2</v>
      </c>
      <c r="Z137" s="78">
        <f t="shared" si="14"/>
        <v>1.5123635999999999E-2</v>
      </c>
      <c r="AA137" s="78">
        <f t="shared" si="14"/>
        <v>1.5123635999999999E-2</v>
      </c>
      <c r="AB137" s="78">
        <f t="shared" si="14"/>
        <v>1.5123635999999999E-2</v>
      </c>
      <c r="AC137" s="78">
        <f t="shared" si="14"/>
        <v>1.5123635999999999E-2</v>
      </c>
      <c r="AD137" s="78">
        <f t="shared" si="14"/>
        <v>1.5123635999999999E-2</v>
      </c>
      <c r="AE137" s="78">
        <f t="shared" si="14"/>
        <v>1.5123635999999999E-2</v>
      </c>
      <c r="AF137" s="78">
        <f t="shared" si="14"/>
        <v>1.5123635999999999E-2</v>
      </c>
      <c r="AG137" s="78">
        <f t="shared" si="14"/>
        <v>1.5123635999999999E-2</v>
      </c>
      <c r="AH137" s="78">
        <f t="shared" si="14"/>
        <v>1.5123635999999999E-2</v>
      </c>
      <c r="AI137" s="78">
        <f t="shared" si="14"/>
        <v>1.5123635999999999E-2</v>
      </c>
      <c r="AJ137" s="78">
        <f t="shared" si="14"/>
        <v>1.5123635999999999E-2</v>
      </c>
      <c r="AK137" s="78">
        <f t="shared" si="14"/>
        <v>1.5123635999999999E-2</v>
      </c>
      <c r="AL137" s="78">
        <f t="shared" si="14"/>
        <v>1.5123635999999999E-2</v>
      </c>
      <c r="AM137" s="78">
        <f t="shared" si="14"/>
        <v>1.5123635999999999E-2</v>
      </c>
      <c r="AN137" s="78">
        <f t="shared" si="14"/>
        <v>1.5123635999999999E-2</v>
      </c>
      <c r="AO137" s="78">
        <f t="shared" si="14"/>
        <v>1.5123635999999999E-2</v>
      </c>
      <c r="AP137" s="78">
        <f t="shared" si="14"/>
        <v>1.5123635999999999E-2</v>
      </c>
    </row>
    <row r="138" spans="1:42" s="77" customFormat="1" x14ac:dyDescent="0.3">
      <c r="A138" s="100">
        <f t="shared" si="13"/>
        <v>16</v>
      </c>
      <c r="B138" s="76" t="s">
        <v>447</v>
      </c>
      <c r="C138" s="76" t="s">
        <v>448</v>
      </c>
      <c r="D138" s="76">
        <v>7</v>
      </c>
      <c r="E138" s="76" t="s">
        <v>343</v>
      </c>
      <c r="F138" s="76" t="s">
        <v>342</v>
      </c>
      <c r="G138" s="76" t="s">
        <v>338</v>
      </c>
      <c r="H138" s="76"/>
      <c r="I138" s="76">
        <v>0</v>
      </c>
      <c r="J138" s="102">
        <f>J137*0.98</f>
        <v>1.03750307486</v>
      </c>
      <c r="K138" s="94">
        <f t="shared" ref="K138:Q138" si="15">K137*0.98</f>
        <v>1.5254713319999998E-2</v>
      </c>
      <c r="L138" s="78">
        <f t="shared" si="15"/>
        <v>2.1963741380000002E-2</v>
      </c>
      <c r="M138" s="78">
        <f t="shared" si="15"/>
        <v>1.4249894820000001E-2</v>
      </c>
      <c r="N138" s="78">
        <f t="shared" si="15"/>
        <v>1.4821163279999999E-2</v>
      </c>
      <c r="O138" s="78">
        <f t="shared" si="15"/>
        <v>1.4821163279999999E-2</v>
      </c>
      <c r="P138" s="78">
        <f t="shared" si="15"/>
        <v>1.4821163279999999E-2</v>
      </c>
      <c r="Q138" s="78">
        <f t="shared" si="15"/>
        <v>1.4821163279999999E-2</v>
      </c>
      <c r="R138" s="78">
        <f>Q138</f>
        <v>1.4821163279999999E-2</v>
      </c>
      <c r="S138" s="78">
        <f>R138</f>
        <v>1.4821163279999999E-2</v>
      </c>
      <c r="T138" s="78">
        <f t="shared" si="14"/>
        <v>1.4821163279999999E-2</v>
      </c>
      <c r="U138" s="78">
        <f t="shared" si="14"/>
        <v>1.4821163279999999E-2</v>
      </c>
      <c r="V138" s="78">
        <f t="shared" si="14"/>
        <v>1.4821163279999999E-2</v>
      </c>
      <c r="W138" s="78">
        <f t="shared" si="14"/>
        <v>1.4821163279999999E-2</v>
      </c>
      <c r="X138" s="78">
        <f t="shared" si="14"/>
        <v>1.4821163279999999E-2</v>
      </c>
      <c r="Y138" s="78">
        <f t="shared" si="14"/>
        <v>1.4821163279999999E-2</v>
      </c>
      <c r="Z138" s="78">
        <f t="shared" si="14"/>
        <v>1.4821163279999999E-2</v>
      </c>
      <c r="AA138" s="78">
        <f t="shared" si="14"/>
        <v>1.4821163279999999E-2</v>
      </c>
      <c r="AB138" s="78">
        <f t="shared" si="14"/>
        <v>1.4821163279999999E-2</v>
      </c>
      <c r="AC138" s="78">
        <f t="shared" si="14"/>
        <v>1.4821163279999999E-2</v>
      </c>
      <c r="AD138" s="78">
        <f t="shared" si="14"/>
        <v>1.4821163279999999E-2</v>
      </c>
      <c r="AE138" s="78">
        <f t="shared" si="14"/>
        <v>1.4821163279999999E-2</v>
      </c>
      <c r="AF138" s="78">
        <f t="shared" si="14"/>
        <v>1.4821163279999999E-2</v>
      </c>
      <c r="AG138" s="78">
        <f t="shared" si="14"/>
        <v>1.4821163279999999E-2</v>
      </c>
      <c r="AH138" s="78">
        <f t="shared" si="14"/>
        <v>1.4821163279999999E-2</v>
      </c>
      <c r="AI138" s="78">
        <f t="shared" si="14"/>
        <v>1.4821163279999999E-2</v>
      </c>
      <c r="AJ138" s="78">
        <f t="shared" si="14"/>
        <v>1.4821163279999999E-2</v>
      </c>
      <c r="AK138" s="78">
        <f t="shared" si="14"/>
        <v>1.4821163279999999E-2</v>
      </c>
      <c r="AL138" s="78">
        <f t="shared" si="14"/>
        <v>1.4821163279999999E-2</v>
      </c>
      <c r="AM138" s="78">
        <f t="shared" si="14"/>
        <v>1.4821163279999999E-2</v>
      </c>
      <c r="AN138" s="78">
        <f t="shared" si="14"/>
        <v>1.4821163279999999E-2</v>
      </c>
      <c r="AO138" s="78">
        <f t="shared" si="14"/>
        <v>1.4821163279999999E-2</v>
      </c>
      <c r="AP138" s="78">
        <f t="shared" si="14"/>
        <v>1.4821163279999999E-2</v>
      </c>
    </row>
    <row r="139" spans="1:42" s="77" customFormat="1" x14ac:dyDescent="0.3">
      <c r="A139" s="100">
        <f t="shared" si="13"/>
        <v>16</v>
      </c>
      <c r="B139" s="76" t="s">
        <v>447</v>
      </c>
      <c r="C139" s="76" t="s">
        <v>448</v>
      </c>
      <c r="D139" s="76">
        <v>8</v>
      </c>
      <c r="E139" s="76" t="s">
        <v>344</v>
      </c>
      <c r="F139" s="76" t="s">
        <v>352</v>
      </c>
      <c r="G139" s="50" t="s">
        <v>334</v>
      </c>
      <c r="H139" s="76"/>
      <c r="I139" s="76">
        <v>0</v>
      </c>
      <c r="J139" s="101"/>
      <c r="K139" s="93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</row>
    <row r="140" spans="1:42" s="77" customFormat="1" x14ac:dyDescent="0.3">
      <c r="A140" s="100">
        <f t="shared" si="13"/>
        <v>16</v>
      </c>
      <c r="B140" s="76" t="s">
        <v>447</v>
      </c>
      <c r="C140" s="76" t="s">
        <v>448</v>
      </c>
      <c r="D140" s="76">
        <v>9</v>
      </c>
      <c r="E140" s="76" t="s">
        <v>345</v>
      </c>
      <c r="F140" s="76" t="s">
        <v>353</v>
      </c>
      <c r="G140" s="76" t="s">
        <v>338</v>
      </c>
      <c r="H140" s="76" t="s">
        <v>449</v>
      </c>
      <c r="I140" s="76">
        <v>0</v>
      </c>
      <c r="J140" s="102">
        <v>0.38392939765973155</v>
      </c>
      <c r="K140" s="94">
        <v>0.38583827462964726</v>
      </c>
      <c r="L140" s="78">
        <v>0.26029348710905503</v>
      </c>
      <c r="M140" s="78">
        <v>0.34229222377577184</v>
      </c>
      <c r="N140" s="78">
        <v>0.39838137962429382</v>
      </c>
      <c r="O140" s="78">
        <f>N140</f>
        <v>0.39838137962429382</v>
      </c>
      <c r="P140" s="78">
        <f t="shared" ref="P140:AP140" si="16">O140</f>
        <v>0.39838137962429382</v>
      </c>
      <c r="Q140" s="78">
        <f t="shared" si="16"/>
        <v>0.39838137962429382</v>
      </c>
      <c r="R140" s="78">
        <f t="shared" si="16"/>
        <v>0.39838137962429382</v>
      </c>
      <c r="S140" s="78">
        <f t="shared" si="16"/>
        <v>0.39838137962429382</v>
      </c>
      <c r="T140" s="78">
        <f t="shared" si="16"/>
        <v>0.39838137962429382</v>
      </c>
      <c r="U140" s="78">
        <f t="shared" si="16"/>
        <v>0.39838137962429382</v>
      </c>
      <c r="V140" s="78">
        <f t="shared" si="16"/>
        <v>0.39838137962429382</v>
      </c>
      <c r="W140" s="78">
        <f t="shared" si="16"/>
        <v>0.39838137962429382</v>
      </c>
      <c r="X140" s="78">
        <f t="shared" si="16"/>
        <v>0.39838137962429382</v>
      </c>
      <c r="Y140" s="78">
        <f t="shared" si="16"/>
        <v>0.39838137962429382</v>
      </c>
      <c r="Z140" s="78">
        <f t="shared" si="16"/>
        <v>0.39838137962429382</v>
      </c>
      <c r="AA140" s="78">
        <f t="shared" si="16"/>
        <v>0.39838137962429382</v>
      </c>
      <c r="AB140" s="78">
        <f t="shared" si="16"/>
        <v>0.39838137962429382</v>
      </c>
      <c r="AC140" s="78">
        <f t="shared" si="16"/>
        <v>0.39838137962429382</v>
      </c>
      <c r="AD140" s="78">
        <f t="shared" si="16"/>
        <v>0.39838137962429382</v>
      </c>
      <c r="AE140" s="78">
        <f t="shared" si="16"/>
        <v>0.39838137962429382</v>
      </c>
      <c r="AF140" s="78">
        <f t="shared" si="16"/>
        <v>0.39838137962429382</v>
      </c>
      <c r="AG140" s="78">
        <f t="shared" si="16"/>
        <v>0.39838137962429382</v>
      </c>
      <c r="AH140" s="78">
        <f t="shared" si="16"/>
        <v>0.39838137962429382</v>
      </c>
      <c r="AI140" s="78">
        <f t="shared" si="16"/>
        <v>0.39838137962429382</v>
      </c>
      <c r="AJ140" s="78">
        <f t="shared" si="16"/>
        <v>0.39838137962429382</v>
      </c>
      <c r="AK140" s="78">
        <f t="shared" si="16"/>
        <v>0.39838137962429382</v>
      </c>
      <c r="AL140" s="78">
        <f t="shared" si="16"/>
        <v>0.39838137962429382</v>
      </c>
      <c r="AM140" s="78">
        <f t="shared" si="16"/>
        <v>0.39838137962429382</v>
      </c>
      <c r="AN140" s="78">
        <f t="shared" si="16"/>
        <v>0.39838137962429382</v>
      </c>
      <c r="AO140" s="78">
        <f t="shared" si="16"/>
        <v>0.39838137962429382</v>
      </c>
      <c r="AP140" s="78">
        <f t="shared" si="16"/>
        <v>0.39838137962429382</v>
      </c>
    </row>
    <row r="141" spans="1:42" s="77" customFormat="1" ht="15" thickBot="1" x14ac:dyDescent="0.35">
      <c r="A141" s="104">
        <f t="shared" si="13"/>
        <v>16</v>
      </c>
      <c r="B141" s="105" t="s">
        <v>447</v>
      </c>
      <c r="C141" s="105" t="s">
        <v>448</v>
      </c>
      <c r="D141" s="105">
        <v>10</v>
      </c>
      <c r="E141" s="105" t="s">
        <v>346</v>
      </c>
      <c r="F141" s="105" t="s">
        <v>353</v>
      </c>
      <c r="G141" s="105" t="s">
        <v>350</v>
      </c>
      <c r="H141" s="105"/>
      <c r="I141" s="105">
        <v>0</v>
      </c>
      <c r="J141" s="106">
        <v>1</v>
      </c>
      <c r="K141" s="93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</row>
    <row r="142" spans="1:42" s="77" customFormat="1" x14ac:dyDescent="0.3">
      <c r="A142" s="97">
        <f t="shared" ref="A142" si="17">A132+1</f>
        <v>17</v>
      </c>
      <c r="B142" s="98" t="s">
        <v>450</v>
      </c>
      <c r="C142" s="98" t="s">
        <v>451</v>
      </c>
      <c r="D142" s="98">
        <v>1</v>
      </c>
      <c r="E142" s="98" t="s">
        <v>333</v>
      </c>
      <c r="F142" s="98" t="s">
        <v>349</v>
      </c>
      <c r="G142" s="98" t="s">
        <v>338</v>
      </c>
      <c r="H142" s="98" t="s">
        <v>440</v>
      </c>
      <c r="I142" s="98">
        <v>0</v>
      </c>
      <c r="J142" s="99">
        <v>1084</v>
      </c>
      <c r="K142" s="93">
        <v>1084</v>
      </c>
      <c r="L142" s="76">
        <v>1084</v>
      </c>
      <c r="M142" s="76">
        <v>1010.741288278775</v>
      </c>
      <c r="N142" s="76">
        <v>1005.0179514255543</v>
      </c>
      <c r="O142" s="76">
        <v>991.28194297782466</v>
      </c>
      <c r="P142" s="76">
        <v>982.12460401267163</v>
      </c>
      <c r="Q142" s="76">
        <v>975.25659978880674</v>
      </c>
      <c r="R142" s="76">
        <v>967.24392819429772</v>
      </c>
      <c r="S142" s="76">
        <v>961.52059134107697</v>
      </c>
      <c r="T142" s="76">
        <v>955.79725448785632</v>
      </c>
      <c r="U142" s="76">
        <v>952.36325237592393</v>
      </c>
      <c r="V142" s="76">
        <v>946.63991552270318</v>
      </c>
      <c r="W142" s="76">
        <v>943.20591341077079</v>
      </c>
      <c r="X142" s="76">
        <v>938.62724392819428</v>
      </c>
      <c r="Y142" s="76">
        <v>935.19324181626178</v>
      </c>
      <c r="Z142" s="76">
        <v>930.61457233368526</v>
      </c>
      <c r="AA142" s="76">
        <v>927.18057022175276</v>
      </c>
      <c r="AB142" s="76">
        <v>922.60190073917624</v>
      </c>
      <c r="AC142" s="76">
        <v>919.16789862724386</v>
      </c>
      <c r="AD142" s="76">
        <v>914.58922914466734</v>
      </c>
      <c r="AE142" s="76">
        <v>911.15522703273484</v>
      </c>
      <c r="AF142" s="76">
        <v>907.72122492080234</v>
      </c>
      <c r="AG142" s="76">
        <v>903.14255543822594</v>
      </c>
      <c r="AH142" s="76">
        <v>899.70855332629344</v>
      </c>
      <c r="AI142" s="76">
        <v>895.12988384371681</v>
      </c>
      <c r="AJ142" s="76">
        <v>891.69588173178454</v>
      </c>
      <c r="AK142" s="76">
        <v>887.11721224920802</v>
      </c>
      <c r="AL142" s="76">
        <v>883.68321013727564</v>
      </c>
      <c r="AM142" s="76">
        <v>879.10454065469901</v>
      </c>
      <c r="AN142" s="76">
        <v>876.81520591341064</v>
      </c>
      <c r="AO142" s="76">
        <v>874.52587117212238</v>
      </c>
      <c r="AP142" s="76">
        <v>874.52587117212238</v>
      </c>
    </row>
    <row r="143" spans="1:42" s="77" customFormat="1" x14ac:dyDescent="0.3">
      <c r="A143" s="100">
        <f t="shared" ref="A143:A161" si="18">A142</f>
        <v>17</v>
      </c>
      <c r="B143" s="76" t="s">
        <v>450</v>
      </c>
      <c r="C143" s="76" t="s">
        <v>451</v>
      </c>
      <c r="D143" s="76">
        <v>2</v>
      </c>
      <c r="E143" s="76" t="s">
        <v>335</v>
      </c>
      <c r="F143" s="76" t="s">
        <v>349</v>
      </c>
      <c r="G143" s="76" t="s">
        <v>350</v>
      </c>
      <c r="H143" s="76" t="s">
        <v>440</v>
      </c>
      <c r="I143" s="76">
        <v>0</v>
      </c>
      <c r="J143" s="101">
        <v>14.1</v>
      </c>
      <c r="K143" s="93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</row>
    <row r="144" spans="1:42" s="77" customFormat="1" x14ac:dyDescent="0.3">
      <c r="A144" s="100">
        <f t="shared" si="18"/>
        <v>17</v>
      </c>
      <c r="B144" s="76" t="s">
        <v>450</v>
      </c>
      <c r="C144" s="76" t="s">
        <v>451</v>
      </c>
      <c r="D144" s="76">
        <v>3</v>
      </c>
      <c r="E144" s="76" t="s">
        <v>336</v>
      </c>
      <c r="F144" s="76" t="s">
        <v>337</v>
      </c>
      <c r="G144" s="76" t="s">
        <v>338</v>
      </c>
      <c r="H144" s="76" t="s">
        <v>440</v>
      </c>
      <c r="I144" s="76">
        <v>0</v>
      </c>
      <c r="J144" s="101">
        <v>0.37533401180208015</v>
      </c>
      <c r="K144" s="93">
        <v>0.35273374559244275</v>
      </c>
      <c r="L144" s="76">
        <v>0.28613070419299563</v>
      </c>
      <c r="M144" s="76">
        <v>0.39800386712449315</v>
      </c>
      <c r="N144" s="76">
        <v>0.46330255865948261</v>
      </c>
      <c r="O144" s="76">
        <v>0.37510097747429882</v>
      </c>
      <c r="P144" s="76">
        <v>0.37510097747429882</v>
      </c>
      <c r="Q144" s="76">
        <v>0.37510097747429882</v>
      </c>
      <c r="R144" s="76">
        <v>0.37510097747429882</v>
      </c>
      <c r="S144" s="76">
        <v>0.37510097747429882</v>
      </c>
      <c r="T144" s="76">
        <v>0.37510097747429882</v>
      </c>
      <c r="U144" s="76">
        <v>0.37510097747429882</v>
      </c>
      <c r="V144" s="76">
        <v>0.37510097747429882</v>
      </c>
      <c r="W144" s="76">
        <v>0.37510097747429882</v>
      </c>
      <c r="X144" s="76">
        <v>0.37510097747429882</v>
      </c>
      <c r="Y144" s="76">
        <v>0.37510097747429882</v>
      </c>
      <c r="Z144" s="76">
        <v>0.37510097747429882</v>
      </c>
      <c r="AA144" s="76">
        <v>0.37510097747429882</v>
      </c>
      <c r="AB144" s="76">
        <v>0.37510097747429882</v>
      </c>
      <c r="AC144" s="76">
        <v>0.37510097747429882</v>
      </c>
      <c r="AD144" s="76">
        <v>0.37510097747429882</v>
      </c>
      <c r="AE144" s="76">
        <v>0.37510097747429882</v>
      </c>
      <c r="AF144" s="76">
        <v>0.37510097747429882</v>
      </c>
      <c r="AG144" s="76">
        <v>0.37510097747429882</v>
      </c>
      <c r="AH144" s="76">
        <v>0.37510097747429882</v>
      </c>
      <c r="AI144" s="76">
        <v>0.37510097747429882</v>
      </c>
      <c r="AJ144" s="76">
        <v>0.37510097747429882</v>
      </c>
      <c r="AK144" s="76">
        <v>0.37510097747429882</v>
      </c>
      <c r="AL144" s="76">
        <v>0.37510097747429882</v>
      </c>
      <c r="AM144" s="76">
        <v>0.37510097747429882</v>
      </c>
      <c r="AN144" s="76">
        <v>0.37510097747429882</v>
      </c>
      <c r="AO144" s="76">
        <v>0.37510097747429882</v>
      </c>
      <c r="AP144" s="76">
        <v>0.37510097747429882</v>
      </c>
    </row>
    <row r="145" spans="1:42" s="77" customFormat="1" x14ac:dyDescent="0.3">
      <c r="A145" s="100">
        <f t="shared" si="18"/>
        <v>17</v>
      </c>
      <c r="B145" s="76" t="s">
        <v>450</v>
      </c>
      <c r="C145" s="76" t="s">
        <v>451</v>
      </c>
      <c r="D145" s="76">
        <v>4</v>
      </c>
      <c r="E145" s="76" t="s">
        <v>339</v>
      </c>
      <c r="F145" s="76" t="s">
        <v>352</v>
      </c>
      <c r="G145" s="76" t="s">
        <v>350</v>
      </c>
      <c r="H145" s="76" t="s">
        <v>449</v>
      </c>
      <c r="I145" s="76">
        <v>0</v>
      </c>
      <c r="J145" s="102">
        <v>0.27036073738812816</v>
      </c>
      <c r="K145" s="93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</row>
    <row r="146" spans="1:42" s="77" customFormat="1" x14ac:dyDescent="0.3">
      <c r="A146" s="100">
        <f t="shared" si="18"/>
        <v>17</v>
      </c>
      <c r="B146" s="76" t="s">
        <v>450</v>
      </c>
      <c r="C146" s="76" t="s">
        <v>451</v>
      </c>
      <c r="D146" s="76">
        <v>5</v>
      </c>
      <c r="E146" s="76" t="s">
        <v>340</v>
      </c>
      <c r="F146" s="76" t="s">
        <v>352</v>
      </c>
      <c r="G146" s="50" t="s">
        <v>334</v>
      </c>
      <c r="H146" s="76" t="s">
        <v>449</v>
      </c>
      <c r="I146" s="76">
        <v>0</v>
      </c>
      <c r="J146" s="102"/>
      <c r="K146" s="94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</row>
    <row r="147" spans="1:42" s="77" customFormat="1" x14ac:dyDescent="0.3">
      <c r="A147" s="100">
        <f t="shared" si="18"/>
        <v>17</v>
      </c>
      <c r="B147" s="76" t="s">
        <v>450</v>
      </c>
      <c r="C147" s="76" t="s">
        <v>451</v>
      </c>
      <c r="D147" s="76">
        <v>6</v>
      </c>
      <c r="E147" s="76" t="s">
        <v>341</v>
      </c>
      <c r="F147" s="76"/>
      <c r="G147" s="76" t="s">
        <v>338</v>
      </c>
      <c r="H147" s="76"/>
      <c r="I147" s="76">
        <v>0</v>
      </c>
      <c r="J147" s="114">
        <v>3.6814103930000002</v>
      </c>
      <c r="K147" s="115">
        <v>3.4977391010000001</v>
      </c>
      <c r="L147" s="116">
        <v>2.1764327880000001</v>
      </c>
      <c r="M147" s="116">
        <v>3.0981854339999999</v>
      </c>
      <c r="N147" s="125">
        <v>4.1043615261428572</v>
      </c>
      <c r="O147" s="78">
        <f>N147</f>
        <v>4.1043615261428572</v>
      </c>
      <c r="P147" s="78">
        <f t="shared" ref="P147:AP148" si="19">O147</f>
        <v>4.1043615261428572</v>
      </c>
      <c r="Q147" s="78">
        <f t="shared" si="19"/>
        <v>4.1043615261428572</v>
      </c>
      <c r="R147" s="78">
        <f t="shared" si="19"/>
        <v>4.1043615261428572</v>
      </c>
      <c r="S147" s="78">
        <f t="shared" si="19"/>
        <v>4.1043615261428572</v>
      </c>
      <c r="T147" s="78">
        <f t="shared" si="19"/>
        <v>4.1043615261428572</v>
      </c>
      <c r="U147" s="78">
        <f t="shared" si="19"/>
        <v>4.1043615261428572</v>
      </c>
      <c r="V147" s="78">
        <f t="shared" si="19"/>
        <v>4.1043615261428572</v>
      </c>
      <c r="W147" s="78">
        <f t="shared" si="19"/>
        <v>4.1043615261428572</v>
      </c>
      <c r="X147" s="78">
        <f t="shared" si="19"/>
        <v>4.1043615261428572</v>
      </c>
      <c r="Y147" s="78">
        <f t="shared" si="19"/>
        <v>4.1043615261428572</v>
      </c>
      <c r="Z147" s="78">
        <f t="shared" si="19"/>
        <v>4.1043615261428572</v>
      </c>
      <c r="AA147" s="78">
        <f t="shared" si="19"/>
        <v>4.1043615261428572</v>
      </c>
      <c r="AB147" s="78">
        <f t="shared" si="19"/>
        <v>4.1043615261428572</v>
      </c>
      <c r="AC147" s="78">
        <f t="shared" si="19"/>
        <v>4.1043615261428572</v>
      </c>
      <c r="AD147" s="78">
        <f t="shared" si="19"/>
        <v>4.1043615261428572</v>
      </c>
      <c r="AE147" s="78">
        <f t="shared" si="19"/>
        <v>4.1043615261428572</v>
      </c>
      <c r="AF147" s="78">
        <f t="shared" si="19"/>
        <v>4.1043615261428572</v>
      </c>
      <c r="AG147" s="78">
        <f t="shared" si="19"/>
        <v>4.1043615261428572</v>
      </c>
      <c r="AH147" s="78">
        <f t="shared" si="19"/>
        <v>4.1043615261428572</v>
      </c>
      <c r="AI147" s="78">
        <f t="shared" si="19"/>
        <v>4.1043615261428572</v>
      </c>
      <c r="AJ147" s="78">
        <f t="shared" si="19"/>
        <v>4.1043615261428572</v>
      </c>
      <c r="AK147" s="78">
        <f t="shared" si="19"/>
        <v>4.1043615261428572</v>
      </c>
      <c r="AL147" s="78">
        <f t="shared" si="19"/>
        <v>4.1043615261428572</v>
      </c>
      <c r="AM147" s="78">
        <f t="shared" si="19"/>
        <v>4.1043615261428572</v>
      </c>
      <c r="AN147" s="78">
        <f t="shared" si="19"/>
        <v>4.1043615261428572</v>
      </c>
      <c r="AO147" s="78">
        <f t="shared" si="19"/>
        <v>4.1043615261428572</v>
      </c>
      <c r="AP147" s="78">
        <f t="shared" si="19"/>
        <v>4.1043615261428572</v>
      </c>
    </row>
    <row r="148" spans="1:42" s="77" customFormat="1" x14ac:dyDescent="0.3">
      <c r="A148" s="100">
        <f t="shared" si="18"/>
        <v>17</v>
      </c>
      <c r="B148" s="76" t="s">
        <v>450</v>
      </c>
      <c r="C148" s="76" t="s">
        <v>451</v>
      </c>
      <c r="D148" s="76">
        <v>7</v>
      </c>
      <c r="E148" s="76" t="s">
        <v>343</v>
      </c>
      <c r="F148" s="76" t="s">
        <v>342</v>
      </c>
      <c r="G148" s="76" t="s">
        <v>338</v>
      </c>
      <c r="H148" s="76" t="s">
        <v>449</v>
      </c>
      <c r="I148" s="76">
        <v>0</v>
      </c>
      <c r="J148" s="102">
        <f>J147*0.98</f>
        <v>3.60778218514</v>
      </c>
      <c r="K148" s="94">
        <f t="shared" ref="K148:Q148" si="20">K147*0.98</f>
        <v>3.4277843189800001</v>
      </c>
      <c r="L148" s="78">
        <f t="shared" si="20"/>
        <v>2.1329041322400002</v>
      </c>
      <c r="M148" s="78">
        <f t="shared" si="20"/>
        <v>3.0362217253199999</v>
      </c>
      <c r="N148" s="78">
        <f t="shared" si="20"/>
        <v>4.0222742956199999</v>
      </c>
      <c r="O148" s="78">
        <f t="shared" si="20"/>
        <v>4.0222742956199999</v>
      </c>
      <c r="P148" s="78">
        <f t="shared" si="20"/>
        <v>4.0222742956199999</v>
      </c>
      <c r="Q148" s="78">
        <f t="shared" si="20"/>
        <v>4.0222742956199999</v>
      </c>
      <c r="R148" s="78">
        <f>Q148</f>
        <v>4.0222742956199999</v>
      </c>
      <c r="S148" s="78">
        <f t="shared" si="19"/>
        <v>4.0222742956199999</v>
      </c>
      <c r="T148" s="78">
        <f t="shared" si="19"/>
        <v>4.0222742956199999</v>
      </c>
      <c r="U148" s="78">
        <f t="shared" si="19"/>
        <v>4.0222742956199999</v>
      </c>
      <c r="V148" s="78">
        <f t="shared" si="19"/>
        <v>4.0222742956199999</v>
      </c>
      <c r="W148" s="78">
        <f t="shared" si="19"/>
        <v>4.0222742956199999</v>
      </c>
      <c r="X148" s="78">
        <f t="shared" si="19"/>
        <v>4.0222742956199999</v>
      </c>
      <c r="Y148" s="78">
        <f t="shared" si="19"/>
        <v>4.0222742956199999</v>
      </c>
      <c r="Z148" s="78">
        <f t="shared" si="19"/>
        <v>4.0222742956199999</v>
      </c>
      <c r="AA148" s="78">
        <f t="shared" si="19"/>
        <v>4.0222742956199999</v>
      </c>
      <c r="AB148" s="78">
        <f t="shared" si="19"/>
        <v>4.0222742956199999</v>
      </c>
      <c r="AC148" s="78">
        <f t="shared" si="19"/>
        <v>4.0222742956199999</v>
      </c>
      <c r="AD148" s="78">
        <f t="shared" si="19"/>
        <v>4.0222742956199999</v>
      </c>
      <c r="AE148" s="78">
        <f t="shared" si="19"/>
        <v>4.0222742956199999</v>
      </c>
      <c r="AF148" s="78">
        <f t="shared" si="19"/>
        <v>4.0222742956199999</v>
      </c>
      <c r="AG148" s="78">
        <f t="shared" si="19"/>
        <v>4.0222742956199999</v>
      </c>
      <c r="AH148" s="78">
        <f t="shared" si="19"/>
        <v>4.0222742956199999</v>
      </c>
      <c r="AI148" s="78">
        <f t="shared" si="19"/>
        <v>4.0222742956199999</v>
      </c>
      <c r="AJ148" s="78">
        <f t="shared" si="19"/>
        <v>4.0222742956199999</v>
      </c>
      <c r="AK148" s="78">
        <f t="shared" si="19"/>
        <v>4.0222742956199999</v>
      </c>
      <c r="AL148" s="78">
        <f t="shared" si="19"/>
        <v>4.0222742956199999</v>
      </c>
      <c r="AM148" s="78">
        <f t="shared" si="19"/>
        <v>4.0222742956199999</v>
      </c>
      <c r="AN148" s="78">
        <f t="shared" si="19"/>
        <v>4.0222742956199999</v>
      </c>
      <c r="AO148" s="78">
        <f t="shared" si="19"/>
        <v>4.0222742956199999</v>
      </c>
      <c r="AP148" s="78">
        <f t="shared" si="19"/>
        <v>4.0222742956199999</v>
      </c>
    </row>
    <row r="149" spans="1:42" s="77" customFormat="1" x14ac:dyDescent="0.3">
      <c r="A149" s="100">
        <f t="shared" si="18"/>
        <v>17</v>
      </c>
      <c r="B149" s="76" t="s">
        <v>450</v>
      </c>
      <c r="C149" s="76" t="s">
        <v>451</v>
      </c>
      <c r="D149" s="76">
        <v>8</v>
      </c>
      <c r="E149" s="76" t="s">
        <v>344</v>
      </c>
      <c r="F149" s="76" t="s">
        <v>352</v>
      </c>
      <c r="G149" s="50" t="s">
        <v>334</v>
      </c>
      <c r="H149" s="76"/>
      <c r="I149" s="76">
        <v>0</v>
      </c>
      <c r="J149" s="101"/>
      <c r="K149" s="93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</row>
    <row r="150" spans="1:42" s="77" customFormat="1" x14ac:dyDescent="0.3">
      <c r="A150" s="100">
        <f t="shared" si="18"/>
        <v>17</v>
      </c>
      <c r="B150" s="76" t="s">
        <v>450</v>
      </c>
      <c r="C150" s="76" t="s">
        <v>451</v>
      </c>
      <c r="D150" s="76">
        <v>9</v>
      </c>
      <c r="E150" s="76" t="s">
        <v>345</v>
      </c>
      <c r="F150" s="76" t="s">
        <v>353</v>
      </c>
      <c r="G150" s="76" t="s">
        <v>338</v>
      </c>
      <c r="H150" s="76" t="s">
        <v>449</v>
      </c>
      <c r="I150" s="76">
        <v>0</v>
      </c>
      <c r="J150" s="102">
        <v>0.38392939765973155</v>
      </c>
      <c r="K150" s="94">
        <v>0.38583827462964726</v>
      </c>
      <c r="L150" s="78">
        <v>0.26029348710905503</v>
      </c>
      <c r="M150" s="78">
        <v>0.34229222377577184</v>
      </c>
      <c r="N150" s="78">
        <v>0.39838137962429382</v>
      </c>
      <c r="O150" s="78">
        <v>0.39838137962429382</v>
      </c>
      <c r="P150" s="78">
        <v>0.39838137962429382</v>
      </c>
      <c r="Q150" s="78">
        <v>0.39838137962429382</v>
      </c>
      <c r="R150" s="78">
        <v>0.39838137962429382</v>
      </c>
      <c r="S150" s="78">
        <v>0.39838137962429382</v>
      </c>
      <c r="T150" s="78">
        <v>0.39838137962429382</v>
      </c>
      <c r="U150" s="78">
        <v>0.39838137962429382</v>
      </c>
      <c r="V150" s="78">
        <v>0.39838137962429382</v>
      </c>
      <c r="W150" s="78">
        <v>0.39838137962429382</v>
      </c>
      <c r="X150" s="78">
        <v>0.39838137962429382</v>
      </c>
      <c r="Y150" s="78">
        <v>0.39838137962429382</v>
      </c>
      <c r="Z150" s="78">
        <v>0.39838137962429382</v>
      </c>
      <c r="AA150" s="78">
        <v>0.39838137962429382</v>
      </c>
      <c r="AB150" s="78">
        <v>0.39838137962429382</v>
      </c>
      <c r="AC150" s="78">
        <v>0.39838137962429382</v>
      </c>
      <c r="AD150" s="78">
        <v>0.39838137962429382</v>
      </c>
      <c r="AE150" s="78">
        <v>0.39838137962429382</v>
      </c>
      <c r="AF150" s="78">
        <v>0.39838137962429382</v>
      </c>
      <c r="AG150" s="78">
        <v>0.39838137962429382</v>
      </c>
      <c r="AH150" s="78">
        <v>0.39838137962429382</v>
      </c>
      <c r="AI150" s="78">
        <v>0.39838137962429382</v>
      </c>
      <c r="AJ150" s="78">
        <v>0.39838137962429382</v>
      </c>
      <c r="AK150" s="78">
        <v>0.39838137962429382</v>
      </c>
      <c r="AL150" s="78">
        <v>0.39838137962429382</v>
      </c>
      <c r="AM150" s="78">
        <v>0.39838137962429382</v>
      </c>
      <c r="AN150" s="78">
        <v>0.39838137962429382</v>
      </c>
      <c r="AO150" s="78">
        <v>0.39838137962429382</v>
      </c>
      <c r="AP150" s="78">
        <v>0.39838137962429382</v>
      </c>
    </row>
    <row r="151" spans="1:42" s="77" customFormat="1" ht="15" thickBot="1" x14ac:dyDescent="0.35">
      <c r="A151" s="104">
        <f t="shared" si="18"/>
        <v>17</v>
      </c>
      <c r="B151" s="105" t="s">
        <v>450</v>
      </c>
      <c r="C151" s="105" t="s">
        <v>451</v>
      </c>
      <c r="D151" s="105">
        <v>10</v>
      </c>
      <c r="E151" s="105" t="s">
        <v>346</v>
      </c>
      <c r="F151" s="105" t="s">
        <v>353</v>
      </c>
      <c r="G151" s="105" t="s">
        <v>350</v>
      </c>
      <c r="H151" s="105"/>
      <c r="I151" s="105">
        <v>0</v>
      </c>
      <c r="J151" s="106">
        <v>1</v>
      </c>
      <c r="K151" s="93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</row>
    <row r="152" spans="1:42" s="77" customFormat="1" x14ac:dyDescent="0.3">
      <c r="A152" s="97">
        <f t="shared" ref="A152" si="21">A142+1</f>
        <v>18</v>
      </c>
      <c r="B152" s="98" t="s">
        <v>452</v>
      </c>
      <c r="C152" s="98" t="s">
        <v>453</v>
      </c>
      <c r="D152" s="98">
        <v>1</v>
      </c>
      <c r="E152" s="98" t="s">
        <v>333</v>
      </c>
      <c r="F152" s="98" t="s">
        <v>349</v>
      </c>
      <c r="G152" s="98" t="s">
        <v>338</v>
      </c>
      <c r="H152" s="98" t="s">
        <v>440</v>
      </c>
      <c r="I152" s="98">
        <v>0</v>
      </c>
      <c r="J152" s="99">
        <v>1084</v>
      </c>
      <c r="K152" s="93">
        <v>1084</v>
      </c>
      <c r="L152" s="76">
        <v>1084</v>
      </c>
      <c r="M152" s="76">
        <v>1010.741288278775</v>
      </c>
      <c r="N152" s="76">
        <v>1005.0179514255543</v>
      </c>
      <c r="O152" s="76">
        <v>991.28194297782466</v>
      </c>
      <c r="P152" s="76">
        <v>982.12460401267163</v>
      </c>
      <c r="Q152" s="76">
        <v>975.25659978880674</v>
      </c>
      <c r="R152" s="76">
        <v>967.24392819429772</v>
      </c>
      <c r="S152" s="76">
        <v>961.52059134107697</v>
      </c>
      <c r="T152" s="76">
        <v>955.79725448785632</v>
      </c>
      <c r="U152" s="76">
        <v>952.36325237592393</v>
      </c>
      <c r="V152" s="76">
        <v>946.63991552270318</v>
      </c>
      <c r="W152" s="76">
        <v>943.20591341077079</v>
      </c>
      <c r="X152" s="76">
        <v>938.62724392819428</v>
      </c>
      <c r="Y152" s="76">
        <v>935.19324181626178</v>
      </c>
      <c r="Z152" s="76">
        <v>930.61457233368526</v>
      </c>
      <c r="AA152" s="76">
        <v>927.18057022175276</v>
      </c>
      <c r="AB152" s="76">
        <v>922.60190073917624</v>
      </c>
      <c r="AC152" s="76">
        <v>919.16789862724386</v>
      </c>
      <c r="AD152" s="76">
        <v>914.58922914466734</v>
      </c>
      <c r="AE152" s="76">
        <v>911.15522703273484</v>
      </c>
      <c r="AF152" s="76">
        <v>907.72122492080234</v>
      </c>
      <c r="AG152" s="76">
        <v>903.14255543822594</v>
      </c>
      <c r="AH152" s="76">
        <v>899.70855332629344</v>
      </c>
      <c r="AI152" s="76">
        <v>895.12988384371681</v>
      </c>
      <c r="AJ152" s="76">
        <v>891.69588173178454</v>
      </c>
      <c r="AK152" s="76">
        <v>887.11721224920802</v>
      </c>
      <c r="AL152" s="76">
        <v>883.68321013727564</v>
      </c>
      <c r="AM152" s="76">
        <v>879.10454065469901</v>
      </c>
      <c r="AN152" s="76">
        <v>876.81520591341064</v>
      </c>
      <c r="AO152" s="76">
        <v>874.52587117212238</v>
      </c>
      <c r="AP152" s="76">
        <v>874.52587117212238</v>
      </c>
    </row>
    <row r="153" spans="1:42" s="77" customFormat="1" x14ac:dyDescent="0.3">
      <c r="A153" s="100">
        <f t="shared" ref="A153" si="22">A152</f>
        <v>18</v>
      </c>
      <c r="B153" s="76" t="s">
        <v>452</v>
      </c>
      <c r="C153" s="76" t="s">
        <v>453</v>
      </c>
      <c r="D153" s="76">
        <v>2</v>
      </c>
      <c r="E153" s="76" t="s">
        <v>335</v>
      </c>
      <c r="F153" s="76" t="s">
        <v>349</v>
      </c>
      <c r="G153" s="76" t="s">
        <v>350</v>
      </c>
      <c r="H153" s="76" t="s">
        <v>440</v>
      </c>
      <c r="I153" s="76">
        <v>0</v>
      </c>
      <c r="J153" s="101">
        <v>14.1</v>
      </c>
      <c r="K153" s="93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</row>
    <row r="154" spans="1:42" s="77" customFormat="1" x14ac:dyDescent="0.3">
      <c r="A154" s="100">
        <f t="shared" si="18"/>
        <v>18</v>
      </c>
      <c r="B154" s="76" t="s">
        <v>452</v>
      </c>
      <c r="C154" s="76" t="s">
        <v>453</v>
      </c>
      <c r="D154" s="76">
        <v>3</v>
      </c>
      <c r="E154" s="76" t="s">
        <v>336</v>
      </c>
      <c r="F154" s="76" t="s">
        <v>337</v>
      </c>
      <c r="G154" s="76" t="s">
        <v>338</v>
      </c>
      <c r="H154" s="76" t="s">
        <v>440</v>
      </c>
      <c r="I154" s="76">
        <v>0</v>
      </c>
      <c r="J154" s="101">
        <v>0.37533401180208015</v>
      </c>
      <c r="K154" s="93">
        <v>0.35273374559244275</v>
      </c>
      <c r="L154" s="76">
        <v>0.28613070419299563</v>
      </c>
      <c r="M154" s="76">
        <v>0.39800386712449315</v>
      </c>
      <c r="N154" s="76">
        <v>0.46330255865948261</v>
      </c>
      <c r="O154" s="76">
        <v>0.37510097747429882</v>
      </c>
      <c r="P154" s="76">
        <v>0.37510097747429882</v>
      </c>
      <c r="Q154" s="76">
        <v>0.37510097747429882</v>
      </c>
      <c r="R154" s="76">
        <v>0.37510097747429882</v>
      </c>
      <c r="S154" s="76">
        <v>0.37510097747429882</v>
      </c>
      <c r="T154" s="76">
        <v>0.37510097747429882</v>
      </c>
      <c r="U154" s="76">
        <v>0.37510097747429882</v>
      </c>
      <c r="V154" s="76">
        <v>0.37510097747429882</v>
      </c>
      <c r="W154" s="76">
        <v>0.37510097747429882</v>
      </c>
      <c r="X154" s="76">
        <v>0.37510097747429882</v>
      </c>
      <c r="Y154" s="76">
        <v>0.37510097747429882</v>
      </c>
      <c r="Z154" s="76">
        <v>0.37510097747429882</v>
      </c>
      <c r="AA154" s="76">
        <v>0.37510097747429882</v>
      </c>
      <c r="AB154" s="76">
        <v>0.37510097747429882</v>
      </c>
      <c r="AC154" s="76">
        <v>0.37510097747429882</v>
      </c>
      <c r="AD154" s="76">
        <v>0.37510097747429882</v>
      </c>
      <c r="AE154" s="76">
        <v>0.37510097747429882</v>
      </c>
      <c r="AF154" s="76">
        <v>0.37510097747429882</v>
      </c>
      <c r="AG154" s="76">
        <v>0.37510097747429882</v>
      </c>
      <c r="AH154" s="76">
        <v>0.37510097747429882</v>
      </c>
      <c r="AI154" s="76">
        <v>0.37510097747429882</v>
      </c>
      <c r="AJ154" s="76">
        <v>0.37510097747429882</v>
      </c>
      <c r="AK154" s="76">
        <v>0.37510097747429882</v>
      </c>
      <c r="AL154" s="76">
        <v>0.37510097747429882</v>
      </c>
      <c r="AM154" s="76">
        <v>0.37510097747429882</v>
      </c>
      <c r="AN154" s="76">
        <v>0.37510097747429882</v>
      </c>
      <c r="AO154" s="76">
        <v>0.37510097747429882</v>
      </c>
      <c r="AP154" s="76">
        <v>0.37510097747429882</v>
      </c>
    </row>
    <row r="155" spans="1:42" s="77" customFormat="1" x14ac:dyDescent="0.3">
      <c r="A155" s="100">
        <f t="shared" si="18"/>
        <v>18</v>
      </c>
      <c r="B155" s="76" t="s">
        <v>452</v>
      </c>
      <c r="C155" s="76" t="s">
        <v>453</v>
      </c>
      <c r="D155" s="76">
        <v>4</v>
      </c>
      <c r="E155" s="76" t="s">
        <v>339</v>
      </c>
      <c r="F155" s="76" t="s">
        <v>352</v>
      </c>
      <c r="G155" s="76" t="s">
        <v>350</v>
      </c>
      <c r="H155" s="76" t="s">
        <v>449</v>
      </c>
      <c r="I155" s="76">
        <v>0</v>
      </c>
      <c r="J155" s="109">
        <v>1.9353090176126457E-2</v>
      </c>
      <c r="K155" s="93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</row>
    <row r="156" spans="1:42" s="77" customFormat="1" x14ac:dyDescent="0.3">
      <c r="A156" s="100">
        <f t="shared" si="18"/>
        <v>18</v>
      </c>
      <c r="B156" s="76" t="s">
        <v>452</v>
      </c>
      <c r="C156" s="76" t="s">
        <v>453</v>
      </c>
      <c r="D156" s="76">
        <v>5</v>
      </c>
      <c r="E156" s="76" t="s">
        <v>340</v>
      </c>
      <c r="F156" s="76" t="s">
        <v>352</v>
      </c>
      <c r="G156" s="50" t="s">
        <v>334</v>
      </c>
      <c r="H156" s="76" t="s">
        <v>449</v>
      </c>
      <c r="I156" s="76">
        <v>0</v>
      </c>
      <c r="J156" s="109"/>
      <c r="K156" s="107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 spans="1:42" s="77" customFormat="1" x14ac:dyDescent="0.3">
      <c r="A157" s="100">
        <f t="shared" si="18"/>
        <v>18</v>
      </c>
      <c r="B157" s="120" t="s">
        <v>452</v>
      </c>
      <c r="C157" s="76" t="s">
        <v>453</v>
      </c>
      <c r="D157" s="76">
        <v>6</v>
      </c>
      <c r="E157" s="76" t="s">
        <v>341</v>
      </c>
      <c r="F157" s="76"/>
      <c r="G157" s="81" t="s">
        <v>338</v>
      </c>
      <c r="H157" s="76"/>
      <c r="I157" s="76">
        <v>0</v>
      </c>
      <c r="J157" s="121">
        <v>0.23431942593565327</v>
      </c>
      <c r="K157" s="122">
        <v>1.4858337816</v>
      </c>
      <c r="L157" s="123">
        <v>1.1736648719999998</v>
      </c>
      <c r="M157" s="123">
        <v>1.3222055088</v>
      </c>
      <c r="N157" s="123">
        <v>2.2106574391982061</v>
      </c>
      <c r="O157" s="79">
        <f>N157</f>
        <v>2.2106574391982061</v>
      </c>
      <c r="P157" s="79">
        <f t="shared" ref="P157:AP158" si="23">O157</f>
        <v>2.2106574391982061</v>
      </c>
      <c r="Q157" s="79">
        <f t="shared" si="23"/>
        <v>2.2106574391982061</v>
      </c>
      <c r="R157" s="79">
        <f t="shared" si="23"/>
        <v>2.2106574391982061</v>
      </c>
      <c r="S157" s="79">
        <f t="shared" si="23"/>
        <v>2.2106574391982061</v>
      </c>
      <c r="T157" s="79">
        <f t="shared" si="23"/>
        <v>2.2106574391982061</v>
      </c>
      <c r="U157" s="79">
        <f t="shared" si="23"/>
        <v>2.2106574391982061</v>
      </c>
      <c r="V157" s="79">
        <f t="shared" si="23"/>
        <v>2.2106574391982061</v>
      </c>
      <c r="W157" s="79">
        <f t="shared" si="23"/>
        <v>2.2106574391982061</v>
      </c>
      <c r="X157" s="79">
        <f t="shared" si="23"/>
        <v>2.2106574391982061</v>
      </c>
      <c r="Y157" s="79">
        <f t="shared" si="23"/>
        <v>2.2106574391982061</v>
      </c>
      <c r="Z157" s="79">
        <f t="shared" si="23"/>
        <v>2.2106574391982061</v>
      </c>
      <c r="AA157" s="79">
        <f t="shared" si="23"/>
        <v>2.2106574391982061</v>
      </c>
      <c r="AB157" s="79">
        <f t="shared" si="23"/>
        <v>2.2106574391982061</v>
      </c>
      <c r="AC157" s="79">
        <f t="shared" si="23"/>
        <v>2.2106574391982061</v>
      </c>
      <c r="AD157" s="79">
        <f t="shared" si="23"/>
        <v>2.2106574391982061</v>
      </c>
      <c r="AE157" s="79">
        <f t="shared" si="23"/>
        <v>2.2106574391982061</v>
      </c>
      <c r="AF157" s="79">
        <f t="shared" si="23"/>
        <v>2.2106574391982061</v>
      </c>
      <c r="AG157" s="79">
        <f t="shared" si="23"/>
        <v>2.2106574391982061</v>
      </c>
      <c r="AH157" s="79">
        <f t="shared" si="23"/>
        <v>2.2106574391982061</v>
      </c>
      <c r="AI157" s="79">
        <f t="shared" si="23"/>
        <v>2.2106574391982061</v>
      </c>
      <c r="AJ157" s="79">
        <f t="shared" si="23"/>
        <v>2.2106574391982061</v>
      </c>
      <c r="AK157" s="79">
        <f t="shared" si="23"/>
        <v>2.2106574391982061</v>
      </c>
      <c r="AL157" s="79">
        <f t="shared" si="23"/>
        <v>2.2106574391982061</v>
      </c>
      <c r="AM157" s="79">
        <f t="shared" si="23"/>
        <v>2.2106574391982061</v>
      </c>
      <c r="AN157" s="79">
        <f t="shared" si="23"/>
        <v>2.2106574391982061</v>
      </c>
      <c r="AO157" s="79">
        <f t="shared" si="23"/>
        <v>2.2106574391982061</v>
      </c>
      <c r="AP157" s="79">
        <f t="shared" si="23"/>
        <v>2.2106574391982061</v>
      </c>
    </row>
    <row r="158" spans="1:42" s="77" customFormat="1" x14ac:dyDescent="0.3">
      <c r="A158" s="100">
        <f t="shared" si="18"/>
        <v>18</v>
      </c>
      <c r="B158" s="120" t="s">
        <v>452</v>
      </c>
      <c r="C158" s="76" t="s">
        <v>453</v>
      </c>
      <c r="D158" s="76">
        <v>7</v>
      </c>
      <c r="E158" s="76" t="s">
        <v>343</v>
      </c>
      <c r="F158" s="76" t="s">
        <v>342</v>
      </c>
      <c r="G158" s="81" t="s">
        <v>338</v>
      </c>
      <c r="H158" s="120" t="s">
        <v>449</v>
      </c>
      <c r="I158" s="76">
        <v>0</v>
      </c>
      <c r="J158" s="121">
        <f>J157*0.98</f>
        <v>0.22963303741694022</v>
      </c>
      <c r="K158" s="122">
        <f t="shared" ref="K158:O158" si="24">K157*0.98</f>
        <v>1.456117105968</v>
      </c>
      <c r="L158" s="123">
        <f t="shared" si="24"/>
        <v>1.1501915745599998</v>
      </c>
      <c r="M158" s="123">
        <f t="shared" si="24"/>
        <v>1.295761398624</v>
      </c>
      <c r="N158" s="123">
        <f t="shared" si="24"/>
        <v>2.1664442904142418</v>
      </c>
      <c r="O158" s="78">
        <f t="shared" si="24"/>
        <v>2.1664442904142418</v>
      </c>
      <c r="P158" s="78">
        <f>O158</f>
        <v>2.1664442904142418</v>
      </c>
      <c r="Q158" s="78">
        <f t="shared" si="23"/>
        <v>2.1664442904142418</v>
      </c>
      <c r="R158" s="78">
        <f t="shared" si="23"/>
        <v>2.1664442904142418</v>
      </c>
      <c r="S158" s="78">
        <f t="shared" si="23"/>
        <v>2.1664442904142418</v>
      </c>
      <c r="T158" s="78">
        <f t="shared" si="23"/>
        <v>2.1664442904142418</v>
      </c>
      <c r="U158" s="78">
        <f t="shared" si="23"/>
        <v>2.1664442904142418</v>
      </c>
      <c r="V158" s="78">
        <f t="shared" si="23"/>
        <v>2.1664442904142418</v>
      </c>
      <c r="W158" s="78">
        <f t="shared" si="23"/>
        <v>2.1664442904142418</v>
      </c>
      <c r="X158" s="78">
        <f t="shared" si="23"/>
        <v>2.1664442904142418</v>
      </c>
      <c r="Y158" s="78">
        <f t="shared" si="23"/>
        <v>2.1664442904142418</v>
      </c>
      <c r="Z158" s="78">
        <f t="shared" si="23"/>
        <v>2.1664442904142418</v>
      </c>
      <c r="AA158" s="78">
        <f t="shared" si="23"/>
        <v>2.1664442904142418</v>
      </c>
      <c r="AB158" s="78">
        <f t="shared" si="23"/>
        <v>2.1664442904142418</v>
      </c>
      <c r="AC158" s="78">
        <f t="shared" si="23"/>
        <v>2.1664442904142418</v>
      </c>
      <c r="AD158" s="78">
        <f t="shared" si="23"/>
        <v>2.1664442904142418</v>
      </c>
      <c r="AE158" s="78">
        <f t="shared" si="23"/>
        <v>2.1664442904142418</v>
      </c>
      <c r="AF158" s="78">
        <f t="shared" si="23"/>
        <v>2.1664442904142418</v>
      </c>
      <c r="AG158" s="78">
        <f t="shared" si="23"/>
        <v>2.1664442904142418</v>
      </c>
      <c r="AH158" s="78">
        <f t="shared" si="23"/>
        <v>2.1664442904142418</v>
      </c>
      <c r="AI158" s="78">
        <f t="shared" si="23"/>
        <v>2.1664442904142418</v>
      </c>
      <c r="AJ158" s="78">
        <f t="shared" si="23"/>
        <v>2.1664442904142418</v>
      </c>
      <c r="AK158" s="78">
        <f t="shared" si="23"/>
        <v>2.1664442904142418</v>
      </c>
      <c r="AL158" s="78">
        <f t="shared" si="23"/>
        <v>2.1664442904142418</v>
      </c>
      <c r="AM158" s="78">
        <f t="shared" si="23"/>
        <v>2.1664442904142418</v>
      </c>
      <c r="AN158" s="78">
        <f t="shared" si="23"/>
        <v>2.1664442904142418</v>
      </c>
      <c r="AO158" s="78">
        <f t="shared" si="23"/>
        <v>2.1664442904142418</v>
      </c>
      <c r="AP158" s="78">
        <f t="shared" si="23"/>
        <v>2.1664442904142418</v>
      </c>
    </row>
    <row r="159" spans="1:42" s="77" customFormat="1" x14ac:dyDescent="0.3">
      <c r="A159" s="100">
        <f t="shared" si="18"/>
        <v>18</v>
      </c>
      <c r="B159" s="76" t="s">
        <v>452</v>
      </c>
      <c r="C159" s="76" t="s">
        <v>453</v>
      </c>
      <c r="D159" s="76">
        <v>8</v>
      </c>
      <c r="E159" s="76" t="s">
        <v>344</v>
      </c>
      <c r="F159" s="76" t="s">
        <v>352</v>
      </c>
      <c r="G159" s="76" t="s">
        <v>334</v>
      </c>
      <c r="H159" s="76"/>
      <c r="I159" s="76">
        <v>0</v>
      </c>
      <c r="J159" s="101"/>
      <c r="K159" s="93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</row>
    <row r="160" spans="1:42" s="77" customFormat="1" x14ac:dyDescent="0.3">
      <c r="A160" s="100">
        <f t="shared" si="18"/>
        <v>18</v>
      </c>
      <c r="B160" s="76" t="s">
        <v>452</v>
      </c>
      <c r="C160" s="76" t="s">
        <v>453</v>
      </c>
      <c r="D160" s="76">
        <v>9</v>
      </c>
      <c r="E160" s="76" t="s">
        <v>345</v>
      </c>
      <c r="F160" s="76" t="s">
        <v>353</v>
      </c>
      <c r="G160" s="76" t="s">
        <v>338</v>
      </c>
      <c r="H160" s="76" t="s">
        <v>449</v>
      </c>
      <c r="I160" s="76">
        <v>0</v>
      </c>
      <c r="J160" s="110">
        <v>0.38392939765973155</v>
      </c>
      <c r="K160" s="108">
        <v>0.38583827462964726</v>
      </c>
      <c r="L160" s="80">
        <v>0.26029348710905503</v>
      </c>
      <c r="M160" s="80">
        <v>0.34229222377577184</v>
      </c>
      <c r="N160" s="80">
        <v>0.39838137962429382</v>
      </c>
      <c r="O160" s="80">
        <v>0.39838137962429382</v>
      </c>
      <c r="P160" s="80">
        <v>0.39838137962429382</v>
      </c>
      <c r="Q160" s="80">
        <v>0.39838137962429382</v>
      </c>
      <c r="R160" s="80">
        <v>0.39838137962429382</v>
      </c>
      <c r="S160" s="80">
        <v>0.39838137962429382</v>
      </c>
      <c r="T160" s="80">
        <v>0.39838137962429382</v>
      </c>
      <c r="U160" s="80">
        <v>0.39838137962429382</v>
      </c>
      <c r="V160" s="80">
        <v>0.39838137962429382</v>
      </c>
      <c r="W160" s="80">
        <v>0.39838137962429382</v>
      </c>
      <c r="X160" s="80">
        <v>0.39838137962429382</v>
      </c>
      <c r="Y160" s="80">
        <v>0.39838137962429382</v>
      </c>
      <c r="Z160" s="80">
        <v>0.39838137962429382</v>
      </c>
      <c r="AA160" s="80">
        <v>0.39838137962429382</v>
      </c>
      <c r="AB160" s="80">
        <v>0.39838137962429382</v>
      </c>
      <c r="AC160" s="80">
        <v>0.39838137962429382</v>
      </c>
      <c r="AD160" s="80">
        <v>0.39838137962429382</v>
      </c>
      <c r="AE160" s="80">
        <v>0.39838137962429382</v>
      </c>
      <c r="AF160" s="80">
        <v>0.39838137962429382</v>
      </c>
      <c r="AG160" s="80">
        <v>0.39838137962429382</v>
      </c>
      <c r="AH160" s="80">
        <v>0.39838137962429382</v>
      </c>
      <c r="AI160" s="80">
        <v>0.39838137962429382</v>
      </c>
      <c r="AJ160" s="80">
        <v>0.39838137962429382</v>
      </c>
      <c r="AK160" s="80">
        <v>0.39838137962429382</v>
      </c>
      <c r="AL160" s="80">
        <v>0.39838137962429382</v>
      </c>
      <c r="AM160" s="80">
        <v>0.39838137962429382</v>
      </c>
      <c r="AN160" s="80">
        <v>0.39838137962429382</v>
      </c>
      <c r="AO160" s="80">
        <v>0.39838137962429382</v>
      </c>
      <c r="AP160" s="80">
        <v>0.39838137962429382</v>
      </c>
    </row>
    <row r="161" spans="1:42" s="77" customFormat="1" ht="15" thickBot="1" x14ac:dyDescent="0.35">
      <c r="A161" s="104">
        <f t="shared" si="18"/>
        <v>18</v>
      </c>
      <c r="B161" s="105" t="s">
        <v>452</v>
      </c>
      <c r="C161" s="105" t="s">
        <v>453</v>
      </c>
      <c r="D161" s="105">
        <v>10</v>
      </c>
      <c r="E161" s="105" t="s">
        <v>346</v>
      </c>
      <c r="F161" s="105" t="s">
        <v>353</v>
      </c>
      <c r="G161" s="105" t="s">
        <v>350</v>
      </c>
      <c r="H161" s="105"/>
      <c r="I161" s="105">
        <v>0</v>
      </c>
      <c r="J161" s="106">
        <v>1</v>
      </c>
      <c r="K161" s="93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</row>
    <row r="162" spans="1:42" s="77" customFormat="1" x14ac:dyDescent="0.3">
      <c r="A162" s="97">
        <f t="shared" ref="A162" si="25">A152+1</f>
        <v>19</v>
      </c>
      <c r="B162" s="98" t="s">
        <v>454</v>
      </c>
      <c r="C162" s="98" t="s">
        <v>470</v>
      </c>
      <c r="D162" s="98">
        <v>1</v>
      </c>
      <c r="E162" s="98" t="s">
        <v>333</v>
      </c>
      <c r="F162" s="98" t="s">
        <v>349</v>
      </c>
      <c r="G162" s="98" t="s">
        <v>338</v>
      </c>
      <c r="H162" s="98" t="s">
        <v>440</v>
      </c>
      <c r="I162" s="98">
        <v>0</v>
      </c>
      <c r="J162" s="99">
        <v>1084</v>
      </c>
      <c r="K162" s="93">
        <v>1084</v>
      </c>
      <c r="L162" s="76">
        <v>1084</v>
      </c>
      <c r="M162" s="76">
        <v>1010.741288278775</v>
      </c>
      <c r="N162" s="76">
        <v>1005.0179514255543</v>
      </c>
      <c r="O162" s="76">
        <v>991.28194297782466</v>
      </c>
      <c r="P162" s="76">
        <v>982.12460401267163</v>
      </c>
      <c r="Q162" s="76">
        <v>975.25659978880674</v>
      </c>
      <c r="R162" s="76">
        <v>967.24392819429772</v>
      </c>
      <c r="S162" s="76">
        <v>961.52059134107697</v>
      </c>
      <c r="T162" s="76">
        <v>955.79725448785632</v>
      </c>
      <c r="U162" s="76">
        <v>952.36325237592393</v>
      </c>
      <c r="V162" s="76">
        <v>946.63991552270318</v>
      </c>
      <c r="W162" s="76">
        <v>943.20591341077079</v>
      </c>
      <c r="X162" s="76">
        <v>938.62724392819428</v>
      </c>
      <c r="Y162" s="76">
        <v>935.19324181626178</v>
      </c>
      <c r="Z162" s="76">
        <v>930.61457233368526</v>
      </c>
      <c r="AA162" s="76">
        <v>927.18057022175276</v>
      </c>
      <c r="AB162" s="76">
        <v>922.60190073917624</v>
      </c>
      <c r="AC162" s="76">
        <v>919.16789862724386</v>
      </c>
      <c r="AD162" s="76">
        <v>914.58922914466734</v>
      </c>
      <c r="AE162" s="76">
        <v>911.15522703273484</v>
      </c>
      <c r="AF162" s="76">
        <v>907.72122492080234</v>
      </c>
      <c r="AG162" s="76">
        <v>903.14255543822594</v>
      </c>
      <c r="AH162" s="76">
        <v>899.70855332629344</v>
      </c>
      <c r="AI162" s="76">
        <v>895.12988384371681</v>
      </c>
      <c r="AJ162" s="76">
        <v>891.69588173178454</v>
      </c>
      <c r="AK162" s="76">
        <v>887.11721224920802</v>
      </c>
      <c r="AL162" s="76">
        <v>883.68321013727564</v>
      </c>
      <c r="AM162" s="76">
        <v>879.10454065469901</v>
      </c>
      <c r="AN162" s="76">
        <v>876.81520591341064</v>
      </c>
      <c r="AO162" s="76">
        <v>874.52587117212238</v>
      </c>
      <c r="AP162" s="76">
        <v>874.52587117212238</v>
      </c>
    </row>
    <row r="163" spans="1:42" s="77" customFormat="1" x14ac:dyDescent="0.3">
      <c r="A163" s="100">
        <f t="shared" ref="A163:A171" si="26">A162</f>
        <v>19</v>
      </c>
      <c r="B163" s="76" t="s">
        <v>454</v>
      </c>
      <c r="C163" s="76" t="s">
        <v>470</v>
      </c>
      <c r="D163" s="76">
        <v>2</v>
      </c>
      <c r="E163" s="76" t="s">
        <v>335</v>
      </c>
      <c r="F163" s="76" t="s">
        <v>349</v>
      </c>
      <c r="G163" s="76" t="s">
        <v>350</v>
      </c>
      <c r="H163" s="76" t="s">
        <v>440</v>
      </c>
      <c r="I163" s="76">
        <v>0</v>
      </c>
      <c r="J163" s="101">
        <v>14.1</v>
      </c>
      <c r="K163" s="93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</row>
    <row r="164" spans="1:42" s="77" customFormat="1" x14ac:dyDescent="0.3">
      <c r="A164" s="100">
        <f t="shared" si="26"/>
        <v>19</v>
      </c>
      <c r="B164" s="76" t="s">
        <v>454</v>
      </c>
      <c r="C164" s="76" t="s">
        <v>470</v>
      </c>
      <c r="D164" s="76">
        <v>3</v>
      </c>
      <c r="E164" s="76" t="s">
        <v>336</v>
      </c>
      <c r="F164" s="76" t="s">
        <v>337</v>
      </c>
      <c r="G164" s="76" t="s">
        <v>338</v>
      </c>
      <c r="H164" s="76" t="s">
        <v>440</v>
      </c>
      <c r="I164" s="76">
        <v>0</v>
      </c>
      <c r="J164" s="102">
        <v>0.37533401180208015</v>
      </c>
      <c r="K164" s="94">
        <v>0.35273374559244275</v>
      </c>
      <c r="L164" s="78">
        <v>0.28613070419299563</v>
      </c>
      <c r="M164" s="78">
        <v>0.39800386712449315</v>
      </c>
      <c r="N164" s="78">
        <v>0.46330255865948261</v>
      </c>
      <c r="O164" s="78">
        <v>0.37510097747429882</v>
      </c>
      <c r="P164" s="78">
        <v>0.37510097747429882</v>
      </c>
      <c r="Q164" s="78">
        <v>0.37510097747429882</v>
      </c>
      <c r="R164" s="78">
        <v>0.37510097747429882</v>
      </c>
      <c r="S164" s="78">
        <v>0.37510097747429882</v>
      </c>
      <c r="T164" s="78">
        <v>0.37510097747429882</v>
      </c>
      <c r="U164" s="78">
        <v>0.37510097747429882</v>
      </c>
      <c r="V164" s="78">
        <v>0.37510097747429882</v>
      </c>
      <c r="W164" s="78">
        <v>0.37510097747429882</v>
      </c>
      <c r="X164" s="78">
        <v>0.37510097747429882</v>
      </c>
      <c r="Y164" s="78">
        <v>0.37510097747429882</v>
      </c>
      <c r="Z164" s="78">
        <v>0.37510097747429882</v>
      </c>
      <c r="AA164" s="78">
        <v>0.37510097747429882</v>
      </c>
      <c r="AB164" s="78">
        <v>0.37510097747429882</v>
      </c>
      <c r="AC164" s="78">
        <v>0.37510097747429882</v>
      </c>
      <c r="AD164" s="78">
        <v>0.37510097747429882</v>
      </c>
      <c r="AE164" s="78">
        <v>0.37510097747429882</v>
      </c>
      <c r="AF164" s="78">
        <v>0.37510097747429882</v>
      </c>
      <c r="AG164" s="78">
        <v>0.37510097747429882</v>
      </c>
      <c r="AH164" s="78">
        <v>0.37510097747429882</v>
      </c>
      <c r="AI164" s="78">
        <v>0.37510097747429882</v>
      </c>
      <c r="AJ164" s="78">
        <v>0.37510097747429882</v>
      </c>
      <c r="AK164" s="78">
        <v>0.37510097747429882</v>
      </c>
      <c r="AL164" s="78">
        <v>0.37510097747429882</v>
      </c>
      <c r="AM164" s="78">
        <v>0.37510097747429882</v>
      </c>
      <c r="AN164" s="78">
        <v>0.37510097747429882</v>
      </c>
      <c r="AO164" s="78">
        <v>0.37510097747429882</v>
      </c>
      <c r="AP164" s="78">
        <v>0.37510097747429882</v>
      </c>
    </row>
    <row r="165" spans="1:42" s="77" customFormat="1" x14ac:dyDescent="0.3">
      <c r="A165" s="100">
        <f t="shared" si="26"/>
        <v>19</v>
      </c>
      <c r="B165" s="76" t="s">
        <v>454</v>
      </c>
      <c r="C165" s="76" t="s">
        <v>470</v>
      </c>
      <c r="D165" s="76">
        <v>4</v>
      </c>
      <c r="E165" s="76" t="s">
        <v>339</v>
      </c>
      <c r="F165" s="76" t="s">
        <v>352</v>
      </c>
      <c r="G165" s="76" t="s">
        <v>350</v>
      </c>
      <c r="H165" s="76" t="s">
        <v>449</v>
      </c>
      <c r="I165" s="76">
        <v>0</v>
      </c>
      <c r="J165" s="103">
        <v>2.3700000000000001E-3</v>
      </c>
      <c r="K165" s="93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</row>
    <row r="166" spans="1:42" s="77" customFormat="1" x14ac:dyDescent="0.3">
      <c r="A166" s="100">
        <f t="shared" si="26"/>
        <v>19</v>
      </c>
      <c r="B166" s="76" t="s">
        <v>454</v>
      </c>
      <c r="C166" s="76" t="s">
        <v>470</v>
      </c>
      <c r="D166" s="76">
        <v>5</v>
      </c>
      <c r="E166" s="76" t="s">
        <v>340</v>
      </c>
      <c r="F166" s="76" t="s">
        <v>352</v>
      </c>
      <c r="G166" s="50" t="s">
        <v>334</v>
      </c>
      <c r="H166" s="76"/>
      <c r="I166" s="76">
        <v>0</v>
      </c>
      <c r="J166" s="102"/>
      <c r="K166" s="94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</row>
    <row r="167" spans="1:42" s="77" customFormat="1" x14ac:dyDescent="0.3">
      <c r="A167" s="100">
        <f t="shared" si="26"/>
        <v>19</v>
      </c>
      <c r="B167" s="76" t="s">
        <v>454</v>
      </c>
      <c r="C167" s="76" t="s">
        <v>470</v>
      </c>
      <c r="D167" s="76">
        <v>6</v>
      </c>
      <c r="E167" s="76" t="s">
        <v>341</v>
      </c>
      <c r="F167" s="76"/>
      <c r="G167" s="76" t="s">
        <v>338</v>
      </c>
      <c r="H167" s="76" t="s">
        <v>449</v>
      </c>
      <c r="I167" s="76">
        <v>0</v>
      </c>
      <c r="J167" s="102">
        <v>5.65345872E-2</v>
      </c>
      <c r="K167" s="94">
        <v>5.65345872E-2</v>
      </c>
      <c r="L167" s="78">
        <v>5.65345872E-2</v>
      </c>
      <c r="M167" s="78">
        <v>5.65345872E-2</v>
      </c>
      <c r="N167" s="78">
        <v>5.65345872E-2</v>
      </c>
      <c r="O167" s="78">
        <v>5.65345872E-2</v>
      </c>
      <c r="P167" s="78">
        <f t="shared" ref="P167" si="27">O167</f>
        <v>5.65345872E-2</v>
      </c>
      <c r="Q167" s="78">
        <f t="shared" ref="Q167" si="28">P167</f>
        <v>5.65345872E-2</v>
      </c>
      <c r="R167" s="78">
        <f t="shared" ref="R167" si="29">Q167</f>
        <v>5.65345872E-2</v>
      </c>
      <c r="S167" s="78">
        <f t="shared" ref="S167" si="30">R167</f>
        <v>5.65345872E-2</v>
      </c>
      <c r="T167" s="78">
        <f t="shared" ref="T167:T168" si="31">S167</f>
        <v>5.65345872E-2</v>
      </c>
      <c r="U167" s="78">
        <f t="shared" ref="U167:U168" si="32">T167</f>
        <v>5.65345872E-2</v>
      </c>
      <c r="V167" s="78">
        <f t="shared" ref="V167:V168" si="33">U167</f>
        <v>5.65345872E-2</v>
      </c>
      <c r="W167" s="78">
        <f t="shared" ref="W167:W168" si="34">V167</f>
        <v>5.65345872E-2</v>
      </c>
      <c r="X167" s="78">
        <f t="shared" ref="X167:X168" si="35">W167</f>
        <v>5.65345872E-2</v>
      </c>
      <c r="Y167" s="78">
        <f t="shared" ref="Y167:Y168" si="36">X167</f>
        <v>5.65345872E-2</v>
      </c>
      <c r="Z167" s="78">
        <f t="shared" ref="Z167:Z168" si="37">Y167</f>
        <v>5.65345872E-2</v>
      </c>
      <c r="AA167" s="78">
        <f t="shared" ref="AA167:AA168" si="38">Z167</f>
        <v>5.65345872E-2</v>
      </c>
      <c r="AB167" s="78">
        <f t="shared" ref="AB167:AB168" si="39">AA167</f>
        <v>5.65345872E-2</v>
      </c>
      <c r="AC167" s="78">
        <f t="shared" ref="AC167:AC168" si="40">AB167</f>
        <v>5.65345872E-2</v>
      </c>
      <c r="AD167" s="78">
        <f t="shared" ref="AD167:AD168" si="41">AC167</f>
        <v>5.65345872E-2</v>
      </c>
      <c r="AE167" s="78">
        <f t="shared" ref="AE167:AE168" si="42">AD167</f>
        <v>5.65345872E-2</v>
      </c>
      <c r="AF167" s="78">
        <f t="shared" ref="AF167:AF168" si="43">AE167</f>
        <v>5.65345872E-2</v>
      </c>
      <c r="AG167" s="78">
        <f t="shared" ref="AG167:AG168" si="44">AF167</f>
        <v>5.65345872E-2</v>
      </c>
      <c r="AH167" s="78">
        <f t="shared" ref="AH167:AH168" si="45">AG167</f>
        <v>5.65345872E-2</v>
      </c>
      <c r="AI167" s="78">
        <f t="shared" ref="AI167:AI168" si="46">AH167</f>
        <v>5.65345872E-2</v>
      </c>
      <c r="AJ167" s="78">
        <f t="shared" ref="AJ167:AJ168" si="47">AI167</f>
        <v>5.65345872E-2</v>
      </c>
      <c r="AK167" s="78">
        <f t="shared" ref="AK167:AK168" si="48">AJ167</f>
        <v>5.65345872E-2</v>
      </c>
      <c r="AL167" s="78">
        <f t="shared" ref="AL167:AL168" si="49">AK167</f>
        <v>5.65345872E-2</v>
      </c>
      <c r="AM167" s="78">
        <f t="shared" ref="AM167:AM168" si="50">AL167</f>
        <v>5.65345872E-2</v>
      </c>
      <c r="AN167" s="78">
        <f t="shared" ref="AN167:AN168" si="51">AM167</f>
        <v>5.65345872E-2</v>
      </c>
      <c r="AO167" s="78">
        <f t="shared" ref="AO167:AO168" si="52">AN167</f>
        <v>5.65345872E-2</v>
      </c>
      <c r="AP167" s="78">
        <f t="shared" ref="AP167:AP168" si="53">AO167</f>
        <v>5.65345872E-2</v>
      </c>
    </row>
    <row r="168" spans="1:42" s="77" customFormat="1" x14ac:dyDescent="0.3">
      <c r="A168" s="100">
        <f t="shared" si="26"/>
        <v>19</v>
      </c>
      <c r="B168" s="76" t="s">
        <v>454</v>
      </c>
      <c r="C168" s="76" t="s">
        <v>470</v>
      </c>
      <c r="D168" s="76">
        <v>7</v>
      </c>
      <c r="E168" s="76" t="s">
        <v>343</v>
      </c>
      <c r="F168" s="76" t="s">
        <v>342</v>
      </c>
      <c r="G168" s="76" t="s">
        <v>338</v>
      </c>
      <c r="H168" s="76"/>
      <c r="I168" s="76">
        <v>0</v>
      </c>
      <c r="J168" s="102">
        <f>J167*0.98</f>
        <v>5.5403895455999996E-2</v>
      </c>
      <c r="K168" s="94">
        <f t="shared" ref="K168:Q168" si="54">K167*0.98</f>
        <v>5.5403895455999996E-2</v>
      </c>
      <c r="L168" s="78">
        <f t="shared" si="54"/>
        <v>5.5403895455999996E-2</v>
      </c>
      <c r="M168" s="78">
        <f t="shared" si="54"/>
        <v>5.5403895455999996E-2</v>
      </c>
      <c r="N168" s="78">
        <f t="shared" si="54"/>
        <v>5.5403895455999996E-2</v>
      </c>
      <c r="O168" s="78">
        <f t="shared" si="54"/>
        <v>5.5403895455999996E-2</v>
      </c>
      <c r="P168" s="78">
        <f t="shared" si="54"/>
        <v>5.5403895455999996E-2</v>
      </c>
      <c r="Q168" s="78">
        <f t="shared" si="54"/>
        <v>5.5403895455999996E-2</v>
      </c>
      <c r="R168" s="78">
        <f>Q168</f>
        <v>5.5403895455999996E-2</v>
      </c>
      <c r="S168" s="78">
        <f>R168</f>
        <v>5.5403895455999996E-2</v>
      </c>
      <c r="T168" s="78">
        <f t="shared" si="31"/>
        <v>5.5403895455999996E-2</v>
      </c>
      <c r="U168" s="78">
        <f t="shared" si="32"/>
        <v>5.5403895455999996E-2</v>
      </c>
      <c r="V168" s="78">
        <f t="shared" si="33"/>
        <v>5.5403895455999996E-2</v>
      </c>
      <c r="W168" s="78">
        <f t="shared" si="34"/>
        <v>5.5403895455999996E-2</v>
      </c>
      <c r="X168" s="78">
        <f t="shared" si="35"/>
        <v>5.5403895455999996E-2</v>
      </c>
      <c r="Y168" s="78">
        <f t="shared" si="36"/>
        <v>5.5403895455999996E-2</v>
      </c>
      <c r="Z168" s="78">
        <f t="shared" si="37"/>
        <v>5.5403895455999996E-2</v>
      </c>
      <c r="AA168" s="78">
        <f t="shared" si="38"/>
        <v>5.5403895455999996E-2</v>
      </c>
      <c r="AB168" s="78">
        <f t="shared" si="39"/>
        <v>5.5403895455999996E-2</v>
      </c>
      <c r="AC168" s="78">
        <f t="shared" si="40"/>
        <v>5.5403895455999996E-2</v>
      </c>
      <c r="AD168" s="78">
        <f t="shared" si="41"/>
        <v>5.5403895455999996E-2</v>
      </c>
      <c r="AE168" s="78">
        <f t="shared" si="42"/>
        <v>5.5403895455999996E-2</v>
      </c>
      <c r="AF168" s="78">
        <f t="shared" si="43"/>
        <v>5.5403895455999996E-2</v>
      </c>
      <c r="AG168" s="78">
        <f t="shared" si="44"/>
        <v>5.5403895455999996E-2</v>
      </c>
      <c r="AH168" s="78">
        <f t="shared" si="45"/>
        <v>5.5403895455999996E-2</v>
      </c>
      <c r="AI168" s="78">
        <f t="shared" si="46"/>
        <v>5.5403895455999996E-2</v>
      </c>
      <c r="AJ168" s="78">
        <f t="shared" si="47"/>
        <v>5.5403895455999996E-2</v>
      </c>
      <c r="AK168" s="78">
        <f t="shared" si="48"/>
        <v>5.5403895455999996E-2</v>
      </c>
      <c r="AL168" s="78">
        <f t="shared" si="49"/>
        <v>5.5403895455999996E-2</v>
      </c>
      <c r="AM168" s="78">
        <f t="shared" si="50"/>
        <v>5.5403895455999996E-2</v>
      </c>
      <c r="AN168" s="78">
        <f t="shared" si="51"/>
        <v>5.5403895455999996E-2</v>
      </c>
      <c r="AO168" s="78">
        <f t="shared" si="52"/>
        <v>5.5403895455999996E-2</v>
      </c>
      <c r="AP168" s="78">
        <f t="shared" si="53"/>
        <v>5.5403895455999996E-2</v>
      </c>
    </row>
    <row r="169" spans="1:42" s="77" customFormat="1" x14ac:dyDescent="0.3">
      <c r="A169" s="100">
        <f t="shared" si="26"/>
        <v>19</v>
      </c>
      <c r="B169" s="76" t="s">
        <v>454</v>
      </c>
      <c r="C169" s="76" t="s">
        <v>470</v>
      </c>
      <c r="D169" s="76">
        <v>8</v>
      </c>
      <c r="E169" s="76" t="s">
        <v>344</v>
      </c>
      <c r="F169" s="76" t="s">
        <v>352</v>
      </c>
      <c r="G169" s="50" t="s">
        <v>334</v>
      </c>
      <c r="H169" s="76"/>
      <c r="I169" s="76">
        <v>0</v>
      </c>
      <c r="J169" s="101"/>
      <c r="K169" s="93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</row>
    <row r="170" spans="1:42" s="77" customFormat="1" x14ac:dyDescent="0.3">
      <c r="A170" s="100">
        <f t="shared" si="26"/>
        <v>19</v>
      </c>
      <c r="B170" s="76" t="s">
        <v>454</v>
      </c>
      <c r="C170" s="76" t="s">
        <v>470</v>
      </c>
      <c r="D170" s="76">
        <v>9</v>
      </c>
      <c r="E170" s="76" t="s">
        <v>345</v>
      </c>
      <c r="F170" s="76" t="s">
        <v>353</v>
      </c>
      <c r="G170" s="76" t="s">
        <v>338</v>
      </c>
      <c r="H170" s="76" t="s">
        <v>449</v>
      </c>
      <c r="I170" s="76">
        <v>0</v>
      </c>
      <c r="J170" s="102">
        <v>8.3338572026979169E-2</v>
      </c>
      <c r="K170" s="94">
        <v>8.5441555057751153E-2</v>
      </c>
      <c r="L170" s="78">
        <v>8.1115950545806781E-2</v>
      </c>
      <c r="M170" s="78">
        <v>8.3849118019068775E-2</v>
      </c>
      <c r="N170" s="78">
        <v>8.0866602024431244E-2</v>
      </c>
      <c r="O170" s="78">
        <v>8.1157810603362038E-2</v>
      </c>
      <c r="P170" s="78">
        <f t="shared" ref="P170" si="55">O170</f>
        <v>8.1157810603362038E-2</v>
      </c>
      <c r="Q170" s="78">
        <f t="shared" ref="Q170" si="56">P170</f>
        <v>8.1157810603362038E-2</v>
      </c>
      <c r="R170" s="78">
        <f t="shared" ref="R170" si="57">Q170</f>
        <v>8.1157810603362038E-2</v>
      </c>
      <c r="S170" s="78">
        <f t="shared" ref="S170" si="58">R170</f>
        <v>8.1157810603362038E-2</v>
      </c>
      <c r="T170" s="78">
        <f t="shared" ref="T170" si="59">S170</f>
        <v>8.1157810603362038E-2</v>
      </c>
      <c r="U170" s="78">
        <f t="shared" ref="U170" si="60">T170</f>
        <v>8.1157810603362038E-2</v>
      </c>
      <c r="V170" s="78">
        <f t="shared" ref="V170" si="61">U170</f>
        <v>8.1157810603362038E-2</v>
      </c>
      <c r="W170" s="78">
        <f t="shared" ref="W170" si="62">V170</f>
        <v>8.1157810603362038E-2</v>
      </c>
      <c r="X170" s="78">
        <f t="shared" ref="X170" si="63">W170</f>
        <v>8.1157810603362038E-2</v>
      </c>
      <c r="Y170" s="78">
        <f t="shared" ref="Y170" si="64">X170</f>
        <v>8.1157810603362038E-2</v>
      </c>
      <c r="Z170" s="78">
        <f t="shared" ref="Z170" si="65">Y170</f>
        <v>8.1157810603362038E-2</v>
      </c>
      <c r="AA170" s="78">
        <f t="shared" ref="AA170" si="66">Z170</f>
        <v>8.1157810603362038E-2</v>
      </c>
      <c r="AB170" s="78">
        <f t="shared" ref="AB170" si="67">AA170</f>
        <v>8.1157810603362038E-2</v>
      </c>
      <c r="AC170" s="78">
        <f t="shared" ref="AC170" si="68">AB170</f>
        <v>8.1157810603362038E-2</v>
      </c>
      <c r="AD170" s="78">
        <f t="shared" ref="AD170" si="69">AC170</f>
        <v>8.1157810603362038E-2</v>
      </c>
      <c r="AE170" s="78">
        <f t="shared" ref="AE170" si="70">AD170</f>
        <v>8.1157810603362038E-2</v>
      </c>
      <c r="AF170" s="78">
        <f t="shared" ref="AF170" si="71">AE170</f>
        <v>8.1157810603362038E-2</v>
      </c>
      <c r="AG170" s="78">
        <f t="shared" ref="AG170" si="72">AF170</f>
        <v>8.1157810603362038E-2</v>
      </c>
      <c r="AH170" s="78">
        <f t="shared" ref="AH170" si="73">AG170</f>
        <v>8.1157810603362038E-2</v>
      </c>
      <c r="AI170" s="78">
        <f t="shared" ref="AI170" si="74">AH170</f>
        <v>8.1157810603362038E-2</v>
      </c>
      <c r="AJ170" s="78">
        <f t="shared" ref="AJ170" si="75">AI170</f>
        <v>8.1157810603362038E-2</v>
      </c>
      <c r="AK170" s="78">
        <f t="shared" ref="AK170" si="76">AJ170</f>
        <v>8.1157810603362038E-2</v>
      </c>
      <c r="AL170" s="78">
        <f t="shared" ref="AL170" si="77">AK170</f>
        <v>8.1157810603362038E-2</v>
      </c>
      <c r="AM170" s="78">
        <f t="shared" ref="AM170" si="78">AL170</f>
        <v>8.1157810603362038E-2</v>
      </c>
      <c r="AN170" s="78">
        <f t="shared" ref="AN170" si="79">AM170</f>
        <v>8.1157810603362038E-2</v>
      </c>
      <c r="AO170" s="78">
        <f t="shared" ref="AO170" si="80">AN170</f>
        <v>8.1157810603362038E-2</v>
      </c>
      <c r="AP170" s="78">
        <f t="shared" ref="AP170" si="81">AO170</f>
        <v>8.1157810603362038E-2</v>
      </c>
    </row>
    <row r="171" spans="1:42" s="77" customFormat="1" ht="15" thickBot="1" x14ac:dyDescent="0.35">
      <c r="A171" s="104">
        <f t="shared" si="26"/>
        <v>19</v>
      </c>
      <c r="B171" s="105" t="s">
        <v>454</v>
      </c>
      <c r="C171" s="105" t="s">
        <v>470</v>
      </c>
      <c r="D171" s="105">
        <v>10</v>
      </c>
      <c r="E171" s="105" t="s">
        <v>346</v>
      </c>
      <c r="F171" s="105" t="s">
        <v>353</v>
      </c>
      <c r="G171" s="105" t="s">
        <v>350</v>
      </c>
      <c r="H171" s="105"/>
      <c r="I171" s="105">
        <v>0</v>
      </c>
      <c r="J171" s="106">
        <v>1</v>
      </c>
      <c r="K171" s="93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</row>
    <row r="172" spans="1:42" s="77" customFormat="1" x14ac:dyDescent="0.3">
      <c r="A172" s="97">
        <f t="shared" ref="A172" si="82">A162+1</f>
        <v>20</v>
      </c>
      <c r="B172" s="98" t="s">
        <v>456</v>
      </c>
      <c r="C172" s="98" t="s">
        <v>471</v>
      </c>
      <c r="D172" s="98">
        <v>1</v>
      </c>
      <c r="E172" s="98" t="s">
        <v>333</v>
      </c>
      <c r="F172" s="98" t="s">
        <v>349</v>
      </c>
      <c r="G172" s="98" t="s">
        <v>338</v>
      </c>
      <c r="H172" s="98" t="s">
        <v>440</v>
      </c>
      <c r="I172" s="98">
        <v>0</v>
      </c>
      <c r="J172" s="99">
        <v>1084</v>
      </c>
      <c r="K172" s="93">
        <v>1084</v>
      </c>
      <c r="L172" s="76">
        <v>1084</v>
      </c>
      <c r="M172" s="76">
        <v>1010.741288278775</v>
      </c>
      <c r="N172" s="76">
        <v>1005.0179514255543</v>
      </c>
      <c r="O172" s="76">
        <v>991.28194297782466</v>
      </c>
      <c r="P172" s="76">
        <v>982.12460401267163</v>
      </c>
      <c r="Q172" s="76">
        <v>975.25659978880674</v>
      </c>
      <c r="R172" s="76">
        <v>967.24392819429772</v>
      </c>
      <c r="S172" s="76">
        <v>961.52059134107697</v>
      </c>
      <c r="T172" s="76">
        <v>955.79725448785632</v>
      </c>
      <c r="U172" s="76">
        <v>952.36325237592393</v>
      </c>
      <c r="V172" s="76">
        <v>946.63991552270318</v>
      </c>
      <c r="W172" s="76">
        <v>943.20591341077079</v>
      </c>
      <c r="X172" s="76">
        <v>938.62724392819428</v>
      </c>
      <c r="Y172" s="76">
        <v>935.19324181626178</v>
      </c>
      <c r="Z172" s="76">
        <v>930.61457233368526</v>
      </c>
      <c r="AA172" s="76">
        <v>927.18057022175276</v>
      </c>
      <c r="AB172" s="76">
        <v>922.60190073917624</v>
      </c>
      <c r="AC172" s="76">
        <v>919.16789862724386</v>
      </c>
      <c r="AD172" s="76">
        <v>914.58922914466734</v>
      </c>
      <c r="AE172" s="76">
        <v>911.15522703273484</v>
      </c>
      <c r="AF172" s="76">
        <v>907.72122492080234</v>
      </c>
      <c r="AG172" s="76">
        <v>903.14255543822594</v>
      </c>
      <c r="AH172" s="76">
        <v>899.70855332629344</v>
      </c>
      <c r="AI172" s="76">
        <v>895.12988384371681</v>
      </c>
      <c r="AJ172" s="76">
        <v>891.69588173178454</v>
      </c>
      <c r="AK172" s="76">
        <v>887.11721224920802</v>
      </c>
      <c r="AL172" s="76">
        <v>883.68321013727564</v>
      </c>
      <c r="AM172" s="76">
        <v>879.10454065469901</v>
      </c>
      <c r="AN172" s="76">
        <v>876.81520591341064</v>
      </c>
      <c r="AO172" s="76">
        <v>874.52587117212238</v>
      </c>
      <c r="AP172" s="76">
        <v>874.52587117212238</v>
      </c>
    </row>
    <row r="173" spans="1:42" s="77" customFormat="1" x14ac:dyDescent="0.3">
      <c r="A173" s="100">
        <f t="shared" ref="A173:A191" si="83">A172</f>
        <v>20</v>
      </c>
      <c r="B173" s="76" t="s">
        <v>456</v>
      </c>
      <c r="C173" s="76" t="s">
        <v>471</v>
      </c>
      <c r="D173" s="76">
        <v>2</v>
      </c>
      <c r="E173" s="76" t="s">
        <v>335</v>
      </c>
      <c r="F173" s="76" t="s">
        <v>349</v>
      </c>
      <c r="G173" s="76" t="s">
        <v>350</v>
      </c>
      <c r="H173" s="76" t="s">
        <v>440</v>
      </c>
      <c r="I173" s="76">
        <v>0</v>
      </c>
      <c r="J173" s="101">
        <v>14.1</v>
      </c>
      <c r="K173" s="93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</row>
    <row r="174" spans="1:42" s="77" customFormat="1" x14ac:dyDescent="0.3">
      <c r="A174" s="100">
        <f t="shared" si="83"/>
        <v>20</v>
      </c>
      <c r="B174" s="76" t="s">
        <v>456</v>
      </c>
      <c r="C174" s="76" t="s">
        <v>471</v>
      </c>
      <c r="D174" s="76">
        <v>3</v>
      </c>
      <c r="E174" s="76" t="s">
        <v>336</v>
      </c>
      <c r="F174" s="76" t="s">
        <v>337</v>
      </c>
      <c r="G174" s="76" t="s">
        <v>338</v>
      </c>
      <c r="H174" s="76" t="s">
        <v>440</v>
      </c>
      <c r="I174" s="76">
        <v>0</v>
      </c>
      <c r="J174" s="101">
        <v>0.37533401180208015</v>
      </c>
      <c r="K174" s="93">
        <v>0.35273374559244275</v>
      </c>
      <c r="L174" s="76">
        <v>0.28613070419299563</v>
      </c>
      <c r="M174" s="76">
        <v>0.39800386712449315</v>
      </c>
      <c r="N174" s="76">
        <v>0.46330255865948261</v>
      </c>
      <c r="O174" s="76">
        <v>0.37510097747429882</v>
      </c>
      <c r="P174" s="76">
        <v>0.37510097747429882</v>
      </c>
      <c r="Q174" s="76">
        <v>0.37510097747429882</v>
      </c>
      <c r="R174" s="76">
        <v>0.37510097747429882</v>
      </c>
      <c r="S174" s="76">
        <v>0.37510097747429882</v>
      </c>
      <c r="T174" s="76">
        <v>0.37510097747429882</v>
      </c>
      <c r="U174" s="76">
        <v>0.37510097747429882</v>
      </c>
      <c r="V174" s="76">
        <v>0.37510097747429882</v>
      </c>
      <c r="W174" s="76">
        <v>0.37510097747429882</v>
      </c>
      <c r="X174" s="76">
        <v>0.37510097747429882</v>
      </c>
      <c r="Y174" s="76">
        <v>0.37510097747429882</v>
      </c>
      <c r="Z174" s="76">
        <v>0.37510097747429882</v>
      </c>
      <c r="AA174" s="76">
        <v>0.37510097747429882</v>
      </c>
      <c r="AB174" s="76">
        <v>0.37510097747429882</v>
      </c>
      <c r="AC174" s="76">
        <v>0.37510097747429882</v>
      </c>
      <c r="AD174" s="76">
        <v>0.37510097747429882</v>
      </c>
      <c r="AE174" s="76">
        <v>0.37510097747429882</v>
      </c>
      <c r="AF174" s="76">
        <v>0.37510097747429882</v>
      </c>
      <c r="AG174" s="76">
        <v>0.37510097747429882</v>
      </c>
      <c r="AH174" s="76">
        <v>0.37510097747429882</v>
      </c>
      <c r="AI174" s="76">
        <v>0.37510097747429882</v>
      </c>
      <c r="AJ174" s="76">
        <v>0.37510097747429882</v>
      </c>
      <c r="AK174" s="76">
        <v>0.37510097747429882</v>
      </c>
      <c r="AL174" s="76">
        <v>0.37510097747429882</v>
      </c>
      <c r="AM174" s="76">
        <v>0.37510097747429882</v>
      </c>
      <c r="AN174" s="76">
        <v>0.37510097747429882</v>
      </c>
      <c r="AO174" s="76">
        <v>0.37510097747429882</v>
      </c>
      <c r="AP174" s="76">
        <v>0.37510097747429882</v>
      </c>
    </row>
    <row r="175" spans="1:42" s="77" customFormat="1" x14ac:dyDescent="0.3">
      <c r="A175" s="100">
        <f t="shared" si="83"/>
        <v>20</v>
      </c>
      <c r="B175" s="76" t="s">
        <v>456</v>
      </c>
      <c r="C175" s="76" t="s">
        <v>471</v>
      </c>
      <c r="D175" s="76">
        <v>4</v>
      </c>
      <c r="E175" s="76" t="s">
        <v>339</v>
      </c>
      <c r="F175" s="76" t="s">
        <v>352</v>
      </c>
      <c r="G175" s="76" t="s">
        <v>350</v>
      </c>
      <c r="H175" s="76" t="s">
        <v>449</v>
      </c>
      <c r="I175" s="76">
        <v>0</v>
      </c>
      <c r="J175" s="102">
        <v>0.50708490543191231</v>
      </c>
      <c r="K175" s="93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</row>
    <row r="176" spans="1:42" s="77" customFormat="1" x14ac:dyDescent="0.3">
      <c r="A176" s="100">
        <f t="shared" si="83"/>
        <v>20</v>
      </c>
      <c r="B176" s="76" t="s">
        <v>456</v>
      </c>
      <c r="C176" s="76" t="s">
        <v>471</v>
      </c>
      <c r="D176" s="76">
        <v>5</v>
      </c>
      <c r="E176" s="76" t="s">
        <v>340</v>
      </c>
      <c r="F176" s="76" t="s">
        <v>352</v>
      </c>
      <c r="G176" s="50" t="s">
        <v>334</v>
      </c>
      <c r="H176" s="76" t="s">
        <v>449</v>
      </c>
      <c r="I176" s="76">
        <v>0</v>
      </c>
      <c r="J176" s="102"/>
      <c r="K176" s="94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</row>
    <row r="177" spans="1:42" s="77" customFormat="1" x14ac:dyDescent="0.3">
      <c r="A177" s="100">
        <f t="shared" si="83"/>
        <v>20</v>
      </c>
      <c r="B177" s="76" t="s">
        <v>456</v>
      </c>
      <c r="C177" s="76" t="s">
        <v>471</v>
      </c>
      <c r="D177" s="76">
        <v>6</v>
      </c>
      <c r="E177" s="76" t="s">
        <v>341</v>
      </c>
      <c r="F177" s="76"/>
      <c r="G177" s="76" t="s">
        <v>338</v>
      </c>
      <c r="H177" s="76"/>
      <c r="I177" s="76">
        <v>0</v>
      </c>
      <c r="J177" s="114">
        <v>6.9993241260000003</v>
      </c>
      <c r="K177" s="115">
        <v>7.165609935</v>
      </c>
      <c r="L177" s="116">
        <v>3.3242837889999999</v>
      </c>
      <c r="M177" s="116">
        <v>3.615371058</v>
      </c>
      <c r="N177" s="125">
        <v>3.3352070158851901</v>
      </c>
      <c r="O177" s="78">
        <f>N177</f>
        <v>3.3352070158851901</v>
      </c>
      <c r="P177" s="78">
        <f t="shared" ref="P177" si="84">O177</f>
        <v>3.3352070158851901</v>
      </c>
      <c r="Q177" s="78">
        <f t="shared" ref="Q177" si="85">P177</f>
        <v>3.3352070158851901</v>
      </c>
      <c r="R177" s="78">
        <f t="shared" ref="R177" si="86">Q177</f>
        <v>3.3352070158851901</v>
      </c>
      <c r="S177" s="78">
        <f t="shared" ref="S177:S178" si="87">R177</f>
        <v>3.3352070158851901</v>
      </c>
      <c r="T177" s="78">
        <f t="shared" ref="T177:T178" si="88">S177</f>
        <v>3.3352070158851901</v>
      </c>
      <c r="U177" s="78">
        <f t="shared" ref="U177:U178" si="89">T177</f>
        <v>3.3352070158851901</v>
      </c>
      <c r="V177" s="78">
        <f t="shared" ref="V177:V178" si="90">U177</f>
        <v>3.3352070158851901</v>
      </c>
      <c r="W177" s="78">
        <f t="shared" ref="W177:W178" si="91">V177</f>
        <v>3.3352070158851901</v>
      </c>
      <c r="X177" s="78">
        <f t="shared" ref="X177:X178" si="92">W177</f>
        <v>3.3352070158851901</v>
      </c>
      <c r="Y177" s="78">
        <f t="shared" ref="Y177:Y178" si="93">X177</f>
        <v>3.3352070158851901</v>
      </c>
      <c r="Z177" s="78">
        <f t="shared" ref="Z177:Z178" si="94">Y177</f>
        <v>3.3352070158851901</v>
      </c>
      <c r="AA177" s="78">
        <f t="shared" ref="AA177:AA178" si="95">Z177</f>
        <v>3.3352070158851901</v>
      </c>
      <c r="AB177" s="78">
        <f t="shared" ref="AB177:AB178" si="96">AA177</f>
        <v>3.3352070158851901</v>
      </c>
      <c r="AC177" s="78">
        <f t="shared" ref="AC177:AC178" si="97">AB177</f>
        <v>3.3352070158851901</v>
      </c>
      <c r="AD177" s="78">
        <f t="shared" ref="AD177:AD178" si="98">AC177</f>
        <v>3.3352070158851901</v>
      </c>
      <c r="AE177" s="78">
        <f t="shared" ref="AE177:AE178" si="99">AD177</f>
        <v>3.3352070158851901</v>
      </c>
      <c r="AF177" s="78">
        <f t="shared" ref="AF177:AF178" si="100">AE177</f>
        <v>3.3352070158851901</v>
      </c>
      <c r="AG177" s="78">
        <f t="shared" ref="AG177:AG178" si="101">AF177</f>
        <v>3.3352070158851901</v>
      </c>
      <c r="AH177" s="78">
        <f t="shared" ref="AH177:AH178" si="102">AG177</f>
        <v>3.3352070158851901</v>
      </c>
      <c r="AI177" s="78">
        <f t="shared" ref="AI177:AI178" si="103">AH177</f>
        <v>3.3352070158851901</v>
      </c>
      <c r="AJ177" s="78">
        <f t="shared" ref="AJ177:AJ178" si="104">AI177</f>
        <v>3.3352070158851901</v>
      </c>
      <c r="AK177" s="78">
        <f t="shared" ref="AK177:AK178" si="105">AJ177</f>
        <v>3.3352070158851901</v>
      </c>
      <c r="AL177" s="78">
        <f t="shared" ref="AL177:AL178" si="106">AK177</f>
        <v>3.3352070158851901</v>
      </c>
      <c r="AM177" s="78">
        <f t="shared" ref="AM177:AM178" si="107">AL177</f>
        <v>3.3352070158851901</v>
      </c>
      <c r="AN177" s="78">
        <f t="shared" ref="AN177:AN178" si="108">AM177</f>
        <v>3.3352070158851901</v>
      </c>
      <c r="AO177" s="78">
        <f t="shared" ref="AO177:AO178" si="109">AN177</f>
        <v>3.3352070158851901</v>
      </c>
      <c r="AP177" s="78">
        <f t="shared" ref="AP177:AP178" si="110">AO177</f>
        <v>3.3352070158851901</v>
      </c>
    </row>
    <row r="178" spans="1:42" s="77" customFormat="1" x14ac:dyDescent="0.3">
      <c r="A178" s="100">
        <f t="shared" si="83"/>
        <v>20</v>
      </c>
      <c r="B178" s="76" t="s">
        <v>456</v>
      </c>
      <c r="C178" s="76" t="s">
        <v>471</v>
      </c>
      <c r="D178" s="76">
        <v>7</v>
      </c>
      <c r="E178" s="76" t="s">
        <v>343</v>
      </c>
      <c r="F178" s="76" t="s">
        <v>342</v>
      </c>
      <c r="G178" s="76" t="s">
        <v>338</v>
      </c>
      <c r="H178" s="76" t="s">
        <v>449</v>
      </c>
      <c r="I178" s="76">
        <v>0</v>
      </c>
      <c r="J178" s="102">
        <f>J177*0.98</f>
        <v>6.85933764348</v>
      </c>
      <c r="K178" s="94">
        <f t="shared" ref="K178:Q178" si="111">K177*0.98</f>
        <v>7.0222977362999996</v>
      </c>
      <c r="L178" s="78">
        <f t="shared" si="111"/>
        <v>3.2577981132199998</v>
      </c>
      <c r="M178" s="78">
        <f t="shared" si="111"/>
        <v>3.5430636368399999</v>
      </c>
      <c r="N178" s="78">
        <f t="shared" si="111"/>
        <v>3.2685028755674863</v>
      </c>
      <c r="O178" s="78">
        <f t="shared" si="111"/>
        <v>3.2685028755674863</v>
      </c>
      <c r="P178" s="78">
        <f t="shared" si="111"/>
        <v>3.2685028755674863</v>
      </c>
      <c r="Q178" s="78">
        <f t="shared" si="111"/>
        <v>3.2685028755674863</v>
      </c>
      <c r="R178" s="78">
        <f>Q178</f>
        <v>3.2685028755674863</v>
      </c>
      <c r="S178" s="78">
        <f t="shared" si="87"/>
        <v>3.2685028755674863</v>
      </c>
      <c r="T178" s="78">
        <f t="shared" si="88"/>
        <v>3.2685028755674863</v>
      </c>
      <c r="U178" s="78">
        <f t="shared" si="89"/>
        <v>3.2685028755674863</v>
      </c>
      <c r="V178" s="78">
        <f t="shared" si="90"/>
        <v>3.2685028755674863</v>
      </c>
      <c r="W178" s="78">
        <f t="shared" si="91"/>
        <v>3.2685028755674863</v>
      </c>
      <c r="X178" s="78">
        <f t="shared" si="92"/>
        <v>3.2685028755674863</v>
      </c>
      <c r="Y178" s="78">
        <f t="shared" si="93"/>
        <v>3.2685028755674863</v>
      </c>
      <c r="Z178" s="78">
        <f t="shared" si="94"/>
        <v>3.2685028755674863</v>
      </c>
      <c r="AA178" s="78">
        <f t="shared" si="95"/>
        <v>3.2685028755674863</v>
      </c>
      <c r="AB178" s="78">
        <f t="shared" si="96"/>
        <v>3.2685028755674863</v>
      </c>
      <c r="AC178" s="78">
        <f t="shared" si="97"/>
        <v>3.2685028755674863</v>
      </c>
      <c r="AD178" s="78">
        <f t="shared" si="98"/>
        <v>3.2685028755674863</v>
      </c>
      <c r="AE178" s="78">
        <f t="shared" si="99"/>
        <v>3.2685028755674863</v>
      </c>
      <c r="AF178" s="78">
        <f t="shared" si="100"/>
        <v>3.2685028755674863</v>
      </c>
      <c r="AG178" s="78">
        <f t="shared" si="101"/>
        <v>3.2685028755674863</v>
      </c>
      <c r="AH178" s="78">
        <f t="shared" si="102"/>
        <v>3.2685028755674863</v>
      </c>
      <c r="AI178" s="78">
        <f t="shared" si="103"/>
        <v>3.2685028755674863</v>
      </c>
      <c r="AJ178" s="78">
        <f t="shared" si="104"/>
        <v>3.2685028755674863</v>
      </c>
      <c r="AK178" s="78">
        <f t="shared" si="105"/>
        <v>3.2685028755674863</v>
      </c>
      <c r="AL178" s="78">
        <f t="shared" si="106"/>
        <v>3.2685028755674863</v>
      </c>
      <c r="AM178" s="78">
        <f t="shared" si="107"/>
        <v>3.2685028755674863</v>
      </c>
      <c r="AN178" s="78">
        <f t="shared" si="108"/>
        <v>3.2685028755674863</v>
      </c>
      <c r="AO178" s="78">
        <f t="shared" si="109"/>
        <v>3.2685028755674863</v>
      </c>
      <c r="AP178" s="78">
        <f t="shared" si="110"/>
        <v>3.2685028755674863</v>
      </c>
    </row>
    <row r="179" spans="1:42" s="77" customFormat="1" x14ac:dyDescent="0.3">
      <c r="A179" s="100">
        <f t="shared" si="83"/>
        <v>20</v>
      </c>
      <c r="B179" s="76" t="s">
        <v>456</v>
      </c>
      <c r="C179" s="76" t="s">
        <v>471</v>
      </c>
      <c r="D179" s="76">
        <v>8</v>
      </c>
      <c r="E179" s="76" t="s">
        <v>344</v>
      </c>
      <c r="F179" s="76" t="s">
        <v>352</v>
      </c>
      <c r="G179" s="50" t="s">
        <v>334</v>
      </c>
      <c r="H179" s="76"/>
      <c r="I179" s="76">
        <v>0</v>
      </c>
      <c r="J179" s="101"/>
      <c r="K179" s="93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</row>
    <row r="180" spans="1:42" s="77" customFormat="1" x14ac:dyDescent="0.3">
      <c r="A180" s="100">
        <f t="shared" si="83"/>
        <v>20</v>
      </c>
      <c r="B180" s="76" t="s">
        <v>456</v>
      </c>
      <c r="C180" s="76" t="s">
        <v>471</v>
      </c>
      <c r="D180" s="76">
        <v>9</v>
      </c>
      <c r="E180" s="76" t="s">
        <v>345</v>
      </c>
      <c r="F180" s="76" t="s">
        <v>353</v>
      </c>
      <c r="G180" s="76" t="s">
        <v>338</v>
      </c>
      <c r="H180" s="76" t="s">
        <v>449</v>
      </c>
      <c r="I180" s="76">
        <v>0</v>
      </c>
      <c r="J180" s="102">
        <v>8.3338572026979169E-2</v>
      </c>
      <c r="K180" s="94">
        <v>8.5441555057751153E-2</v>
      </c>
      <c r="L180" s="78">
        <v>8.1115950545806781E-2</v>
      </c>
      <c r="M180" s="78">
        <v>8.3849118019068775E-2</v>
      </c>
      <c r="N180" s="78">
        <v>8.0866602024431244E-2</v>
      </c>
      <c r="O180" s="78">
        <v>8.1157810603362038E-2</v>
      </c>
      <c r="P180" s="78">
        <f>O180</f>
        <v>8.1157810603362038E-2</v>
      </c>
      <c r="Q180" s="78">
        <f t="shared" ref="Q180:AP180" si="112">P180</f>
        <v>8.1157810603362038E-2</v>
      </c>
      <c r="R180" s="78">
        <f t="shared" si="112"/>
        <v>8.1157810603362038E-2</v>
      </c>
      <c r="S180" s="78">
        <f t="shared" si="112"/>
        <v>8.1157810603362038E-2</v>
      </c>
      <c r="T180" s="78">
        <f t="shared" si="112"/>
        <v>8.1157810603362038E-2</v>
      </c>
      <c r="U180" s="78">
        <f t="shared" si="112"/>
        <v>8.1157810603362038E-2</v>
      </c>
      <c r="V180" s="78">
        <f t="shared" si="112"/>
        <v>8.1157810603362038E-2</v>
      </c>
      <c r="W180" s="78">
        <f t="shared" si="112"/>
        <v>8.1157810603362038E-2</v>
      </c>
      <c r="X180" s="78">
        <f t="shared" si="112"/>
        <v>8.1157810603362038E-2</v>
      </c>
      <c r="Y180" s="78">
        <f t="shared" si="112"/>
        <v>8.1157810603362038E-2</v>
      </c>
      <c r="Z180" s="78">
        <f t="shared" si="112"/>
        <v>8.1157810603362038E-2</v>
      </c>
      <c r="AA180" s="78">
        <f t="shared" si="112"/>
        <v>8.1157810603362038E-2</v>
      </c>
      <c r="AB180" s="78">
        <f t="shared" si="112"/>
        <v>8.1157810603362038E-2</v>
      </c>
      <c r="AC180" s="78">
        <f t="shared" si="112"/>
        <v>8.1157810603362038E-2</v>
      </c>
      <c r="AD180" s="78">
        <f t="shared" si="112"/>
        <v>8.1157810603362038E-2</v>
      </c>
      <c r="AE180" s="78">
        <f t="shared" si="112"/>
        <v>8.1157810603362038E-2</v>
      </c>
      <c r="AF180" s="78">
        <f t="shared" si="112"/>
        <v>8.1157810603362038E-2</v>
      </c>
      <c r="AG180" s="78">
        <f t="shared" si="112"/>
        <v>8.1157810603362038E-2</v>
      </c>
      <c r="AH180" s="78">
        <f t="shared" si="112"/>
        <v>8.1157810603362038E-2</v>
      </c>
      <c r="AI180" s="78">
        <f t="shared" si="112"/>
        <v>8.1157810603362038E-2</v>
      </c>
      <c r="AJ180" s="78">
        <f t="shared" si="112"/>
        <v>8.1157810603362038E-2</v>
      </c>
      <c r="AK180" s="78">
        <f t="shared" si="112"/>
        <v>8.1157810603362038E-2</v>
      </c>
      <c r="AL180" s="78">
        <f t="shared" si="112"/>
        <v>8.1157810603362038E-2</v>
      </c>
      <c r="AM180" s="78">
        <f t="shared" si="112"/>
        <v>8.1157810603362038E-2</v>
      </c>
      <c r="AN180" s="78">
        <f t="shared" si="112"/>
        <v>8.1157810603362038E-2</v>
      </c>
      <c r="AO180" s="78">
        <f t="shared" si="112"/>
        <v>8.1157810603362038E-2</v>
      </c>
      <c r="AP180" s="78">
        <f t="shared" si="112"/>
        <v>8.1157810603362038E-2</v>
      </c>
    </row>
    <row r="181" spans="1:42" s="77" customFormat="1" ht="15" thickBot="1" x14ac:dyDescent="0.35">
      <c r="A181" s="104">
        <f t="shared" si="83"/>
        <v>20</v>
      </c>
      <c r="B181" s="105" t="s">
        <v>456</v>
      </c>
      <c r="C181" s="105" t="s">
        <v>471</v>
      </c>
      <c r="D181" s="105">
        <v>10</v>
      </c>
      <c r="E181" s="105" t="s">
        <v>346</v>
      </c>
      <c r="F181" s="105" t="s">
        <v>353</v>
      </c>
      <c r="G181" s="105" t="s">
        <v>350</v>
      </c>
      <c r="H181" s="105"/>
      <c r="I181" s="105">
        <v>0</v>
      </c>
      <c r="J181" s="106">
        <v>1</v>
      </c>
      <c r="K181" s="93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</row>
    <row r="182" spans="1:42" s="77" customFormat="1" x14ac:dyDescent="0.3">
      <c r="A182" s="97">
        <f t="shared" ref="A182" si="113">A172+1</f>
        <v>21</v>
      </c>
      <c r="B182" s="98" t="s">
        <v>458</v>
      </c>
      <c r="C182" s="98" t="s">
        <v>472</v>
      </c>
      <c r="D182" s="98">
        <v>1</v>
      </c>
      <c r="E182" s="98" t="s">
        <v>333</v>
      </c>
      <c r="F182" s="98" t="s">
        <v>349</v>
      </c>
      <c r="G182" s="98" t="s">
        <v>338</v>
      </c>
      <c r="H182" s="98" t="s">
        <v>440</v>
      </c>
      <c r="I182" s="98">
        <v>0</v>
      </c>
      <c r="J182" s="99">
        <v>1084</v>
      </c>
      <c r="K182" s="93">
        <v>1084</v>
      </c>
      <c r="L182" s="76">
        <v>1084</v>
      </c>
      <c r="M182" s="76">
        <v>1010.741288278775</v>
      </c>
      <c r="N182" s="76">
        <v>1005.0179514255543</v>
      </c>
      <c r="O182" s="76">
        <v>991.28194297782466</v>
      </c>
      <c r="P182" s="76">
        <v>982.12460401267163</v>
      </c>
      <c r="Q182" s="76">
        <v>975.25659978880674</v>
      </c>
      <c r="R182" s="76">
        <v>967.24392819429772</v>
      </c>
      <c r="S182" s="76">
        <v>961.52059134107697</v>
      </c>
      <c r="T182" s="76">
        <v>955.79725448785632</v>
      </c>
      <c r="U182" s="76">
        <v>952.36325237592393</v>
      </c>
      <c r="V182" s="76">
        <v>946.63991552270318</v>
      </c>
      <c r="W182" s="76">
        <v>943.20591341077079</v>
      </c>
      <c r="X182" s="76">
        <v>938.62724392819428</v>
      </c>
      <c r="Y182" s="76">
        <v>935.19324181626178</v>
      </c>
      <c r="Z182" s="76">
        <v>930.61457233368526</v>
      </c>
      <c r="AA182" s="76">
        <v>927.18057022175276</v>
      </c>
      <c r="AB182" s="76">
        <v>922.60190073917624</v>
      </c>
      <c r="AC182" s="76">
        <v>919.16789862724386</v>
      </c>
      <c r="AD182" s="76">
        <v>914.58922914466734</v>
      </c>
      <c r="AE182" s="76">
        <v>911.15522703273484</v>
      </c>
      <c r="AF182" s="76">
        <v>907.72122492080234</v>
      </c>
      <c r="AG182" s="76">
        <v>903.14255543822594</v>
      </c>
      <c r="AH182" s="76">
        <v>899.70855332629344</v>
      </c>
      <c r="AI182" s="76">
        <v>895.12988384371681</v>
      </c>
      <c r="AJ182" s="76">
        <v>891.69588173178454</v>
      </c>
      <c r="AK182" s="76">
        <v>887.11721224920802</v>
      </c>
      <c r="AL182" s="76">
        <v>883.68321013727564</v>
      </c>
      <c r="AM182" s="76">
        <v>879.10454065469901</v>
      </c>
      <c r="AN182" s="76">
        <v>876.81520591341064</v>
      </c>
      <c r="AO182" s="76">
        <v>874.52587117212238</v>
      </c>
      <c r="AP182" s="76">
        <v>874.52587117212238</v>
      </c>
    </row>
    <row r="183" spans="1:42" s="77" customFormat="1" x14ac:dyDescent="0.3">
      <c r="A183" s="100">
        <f t="shared" ref="A183" si="114">A182</f>
        <v>21</v>
      </c>
      <c r="B183" s="76" t="s">
        <v>458</v>
      </c>
      <c r="C183" s="76" t="s">
        <v>472</v>
      </c>
      <c r="D183" s="76">
        <v>2</v>
      </c>
      <c r="E183" s="76" t="s">
        <v>335</v>
      </c>
      <c r="F183" s="76" t="s">
        <v>349</v>
      </c>
      <c r="G183" s="76" t="s">
        <v>350</v>
      </c>
      <c r="H183" s="76" t="s">
        <v>440</v>
      </c>
      <c r="I183" s="76">
        <v>0</v>
      </c>
      <c r="J183" s="101">
        <v>14.1</v>
      </c>
      <c r="K183" s="93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</row>
    <row r="184" spans="1:42" s="77" customFormat="1" x14ac:dyDescent="0.3">
      <c r="A184" s="100">
        <f t="shared" si="83"/>
        <v>21</v>
      </c>
      <c r="B184" s="76" t="s">
        <v>458</v>
      </c>
      <c r="C184" s="76" t="s">
        <v>472</v>
      </c>
      <c r="D184" s="76">
        <v>3</v>
      </c>
      <c r="E184" s="76" t="s">
        <v>336</v>
      </c>
      <c r="F184" s="76" t="s">
        <v>337</v>
      </c>
      <c r="G184" s="76" t="s">
        <v>338</v>
      </c>
      <c r="H184" s="76" t="s">
        <v>440</v>
      </c>
      <c r="I184" s="76">
        <v>0</v>
      </c>
      <c r="J184" s="101">
        <v>0.37533401180208015</v>
      </c>
      <c r="K184" s="93">
        <v>0.35273374559244275</v>
      </c>
      <c r="L184" s="76">
        <v>0.28613070419299563</v>
      </c>
      <c r="M184" s="76">
        <v>0.39800386712449315</v>
      </c>
      <c r="N184" s="76">
        <v>0.46330255865948261</v>
      </c>
      <c r="O184" s="76">
        <v>0.37510097747429882</v>
      </c>
      <c r="P184" s="76">
        <v>0.37510097747429882</v>
      </c>
      <c r="Q184" s="76">
        <v>0.37510097747429882</v>
      </c>
      <c r="R184" s="76">
        <v>0.37510097747429882</v>
      </c>
      <c r="S184" s="76">
        <v>0.37510097747429882</v>
      </c>
      <c r="T184" s="76">
        <v>0.37510097747429882</v>
      </c>
      <c r="U184" s="76">
        <v>0.37510097747429882</v>
      </c>
      <c r="V184" s="76">
        <v>0.37510097747429882</v>
      </c>
      <c r="W184" s="76">
        <v>0.37510097747429882</v>
      </c>
      <c r="X184" s="76">
        <v>0.37510097747429882</v>
      </c>
      <c r="Y184" s="76">
        <v>0.37510097747429882</v>
      </c>
      <c r="Z184" s="76">
        <v>0.37510097747429882</v>
      </c>
      <c r="AA184" s="76">
        <v>0.37510097747429882</v>
      </c>
      <c r="AB184" s="76">
        <v>0.37510097747429882</v>
      </c>
      <c r="AC184" s="76">
        <v>0.37510097747429882</v>
      </c>
      <c r="AD184" s="76">
        <v>0.37510097747429882</v>
      </c>
      <c r="AE184" s="76">
        <v>0.37510097747429882</v>
      </c>
      <c r="AF184" s="76">
        <v>0.37510097747429882</v>
      </c>
      <c r="AG184" s="76">
        <v>0.37510097747429882</v>
      </c>
      <c r="AH184" s="76">
        <v>0.37510097747429882</v>
      </c>
      <c r="AI184" s="76">
        <v>0.37510097747429882</v>
      </c>
      <c r="AJ184" s="76">
        <v>0.37510097747429882</v>
      </c>
      <c r="AK184" s="76">
        <v>0.37510097747429882</v>
      </c>
      <c r="AL184" s="76">
        <v>0.37510097747429882</v>
      </c>
      <c r="AM184" s="76">
        <v>0.37510097747429882</v>
      </c>
      <c r="AN184" s="76">
        <v>0.37510097747429882</v>
      </c>
      <c r="AO184" s="76">
        <v>0.37510097747429882</v>
      </c>
      <c r="AP184" s="76">
        <v>0.37510097747429882</v>
      </c>
    </row>
    <row r="185" spans="1:42" s="77" customFormat="1" x14ac:dyDescent="0.3">
      <c r="A185" s="100">
        <f t="shared" si="83"/>
        <v>21</v>
      </c>
      <c r="B185" s="76" t="s">
        <v>458</v>
      </c>
      <c r="C185" s="76" t="s">
        <v>472</v>
      </c>
      <c r="D185" s="76">
        <v>4</v>
      </c>
      <c r="E185" s="76" t="s">
        <v>339</v>
      </c>
      <c r="F185" s="76" t="s">
        <v>352</v>
      </c>
      <c r="G185" s="76" t="s">
        <v>350</v>
      </c>
      <c r="H185" s="76" t="s">
        <v>449</v>
      </c>
      <c r="I185" s="76">
        <v>0</v>
      </c>
      <c r="J185" s="109">
        <v>2.2961475782639522</v>
      </c>
      <c r="K185" s="93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</row>
    <row r="186" spans="1:42" s="77" customFormat="1" x14ac:dyDescent="0.3">
      <c r="A186" s="100">
        <f t="shared" si="83"/>
        <v>21</v>
      </c>
      <c r="B186" s="76" t="s">
        <v>458</v>
      </c>
      <c r="C186" s="76" t="s">
        <v>472</v>
      </c>
      <c r="D186" s="76">
        <v>5</v>
      </c>
      <c r="E186" s="76" t="s">
        <v>340</v>
      </c>
      <c r="F186" s="76" t="s">
        <v>352</v>
      </c>
      <c r="G186" s="50" t="s">
        <v>334</v>
      </c>
      <c r="H186" s="76" t="s">
        <v>449</v>
      </c>
      <c r="I186" s="76">
        <v>0</v>
      </c>
      <c r="J186" s="109"/>
      <c r="K186" s="107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 spans="1:42" s="77" customFormat="1" x14ac:dyDescent="0.3">
      <c r="A187" s="100">
        <f t="shared" si="83"/>
        <v>21</v>
      </c>
      <c r="B187" s="76" t="s">
        <v>458</v>
      </c>
      <c r="C187" s="76" t="s">
        <v>472</v>
      </c>
      <c r="D187" s="76">
        <v>6</v>
      </c>
      <c r="E187" s="76" t="s">
        <v>341</v>
      </c>
      <c r="F187" s="76"/>
      <c r="G187" s="81" t="s">
        <v>338</v>
      </c>
      <c r="H187" s="76"/>
      <c r="I187" s="76">
        <v>0</v>
      </c>
      <c r="J187" s="117">
        <v>0.368033956</v>
      </c>
      <c r="K187" s="118">
        <v>0.37976019599999999</v>
      </c>
      <c r="L187" s="119">
        <v>0.20127103499999999</v>
      </c>
      <c r="M187" s="119">
        <v>0.186533064</v>
      </c>
      <c r="N187" s="119">
        <v>0.16695795799999999</v>
      </c>
      <c r="O187" s="79">
        <f>N187</f>
        <v>0.16695795799999999</v>
      </c>
      <c r="P187" s="79">
        <f t="shared" ref="P187" si="115">O187</f>
        <v>0.16695795799999999</v>
      </c>
      <c r="Q187" s="79">
        <f t="shared" ref="Q187:Q188" si="116">P187</f>
        <v>0.16695795799999999</v>
      </c>
      <c r="R187" s="79">
        <f t="shared" ref="R187:R188" si="117">Q187</f>
        <v>0.16695795799999999</v>
      </c>
      <c r="S187" s="79">
        <f t="shared" ref="S187:S188" si="118">R187</f>
        <v>0.16695795799999999</v>
      </c>
      <c r="T187" s="79">
        <f t="shared" ref="T187:T188" si="119">S187</f>
        <v>0.16695795799999999</v>
      </c>
      <c r="U187" s="79">
        <f t="shared" ref="U187:U188" si="120">T187</f>
        <v>0.16695795799999999</v>
      </c>
      <c r="V187" s="79">
        <f t="shared" ref="V187:V188" si="121">U187</f>
        <v>0.16695795799999999</v>
      </c>
      <c r="W187" s="79">
        <f t="shared" ref="W187:W188" si="122">V187</f>
        <v>0.16695795799999999</v>
      </c>
      <c r="X187" s="79">
        <f t="shared" ref="X187:X188" si="123">W187</f>
        <v>0.16695795799999999</v>
      </c>
      <c r="Y187" s="79">
        <f t="shared" ref="Y187:Y188" si="124">X187</f>
        <v>0.16695795799999999</v>
      </c>
      <c r="Z187" s="79">
        <f t="shared" ref="Z187:Z188" si="125">Y187</f>
        <v>0.16695795799999999</v>
      </c>
      <c r="AA187" s="79">
        <f t="shared" ref="AA187:AA188" si="126">Z187</f>
        <v>0.16695795799999999</v>
      </c>
      <c r="AB187" s="79">
        <f t="shared" ref="AB187:AB188" si="127">AA187</f>
        <v>0.16695795799999999</v>
      </c>
      <c r="AC187" s="79">
        <f t="shared" ref="AC187:AC188" si="128">AB187</f>
        <v>0.16695795799999999</v>
      </c>
      <c r="AD187" s="79">
        <f t="shared" ref="AD187:AD188" si="129">AC187</f>
        <v>0.16695795799999999</v>
      </c>
      <c r="AE187" s="79">
        <f t="shared" ref="AE187:AE188" si="130">AD187</f>
        <v>0.16695795799999999</v>
      </c>
      <c r="AF187" s="79">
        <f t="shared" ref="AF187:AF188" si="131">AE187</f>
        <v>0.16695795799999999</v>
      </c>
      <c r="AG187" s="79">
        <f t="shared" ref="AG187:AG188" si="132">AF187</f>
        <v>0.16695795799999999</v>
      </c>
      <c r="AH187" s="79">
        <f t="shared" ref="AH187:AH188" si="133">AG187</f>
        <v>0.16695795799999999</v>
      </c>
      <c r="AI187" s="79">
        <f t="shared" ref="AI187:AI188" si="134">AH187</f>
        <v>0.16695795799999999</v>
      </c>
      <c r="AJ187" s="79">
        <f t="shared" ref="AJ187:AJ188" si="135">AI187</f>
        <v>0.16695795799999999</v>
      </c>
      <c r="AK187" s="79">
        <f t="shared" ref="AK187:AK188" si="136">AJ187</f>
        <v>0.16695795799999999</v>
      </c>
      <c r="AL187" s="79">
        <f t="shared" ref="AL187:AL188" si="137">AK187</f>
        <v>0.16695795799999999</v>
      </c>
      <c r="AM187" s="79">
        <f t="shared" ref="AM187:AM188" si="138">AL187</f>
        <v>0.16695795799999999</v>
      </c>
      <c r="AN187" s="79">
        <f t="shared" ref="AN187:AN188" si="139">AM187</f>
        <v>0.16695795799999999</v>
      </c>
      <c r="AO187" s="79">
        <f t="shared" ref="AO187:AO188" si="140">AN187</f>
        <v>0.16695795799999999</v>
      </c>
      <c r="AP187" s="79">
        <f t="shared" ref="AP187:AP188" si="141">AO187</f>
        <v>0.16695795799999999</v>
      </c>
    </row>
    <row r="188" spans="1:42" s="77" customFormat="1" x14ac:dyDescent="0.3">
      <c r="A188" s="100">
        <f t="shared" si="83"/>
        <v>21</v>
      </c>
      <c r="B188" s="76" t="s">
        <v>458</v>
      </c>
      <c r="C188" s="76" t="s">
        <v>472</v>
      </c>
      <c r="D188" s="76">
        <v>7</v>
      </c>
      <c r="E188" s="76" t="s">
        <v>343</v>
      </c>
      <c r="F188" s="76" t="s">
        <v>342</v>
      </c>
      <c r="G188" s="81" t="s">
        <v>338</v>
      </c>
      <c r="H188" s="76" t="s">
        <v>449</v>
      </c>
      <c r="I188" s="76">
        <v>0</v>
      </c>
      <c r="J188" s="102">
        <f>J187*0.98</f>
        <v>0.36067327688</v>
      </c>
      <c r="K188" s="94">
        <f t="shared" ref="K188:O188" si="142">K187*0.98</f>
        <v>0.37216499207999998</v>
      </c>
      <c r="L188" s="78">
        <f t="shared" si="142"/>
        <v>0.19724561429999998</v>
      </c>
      <c r="M188" s="78">
        <f t="shared" si="142"/>
        <v>0.18280240272000001</v>
      </c>
      <c r="N188" s="78">
        <f t="shared" si="142"/>
        <v>0.16361879884</v>
      </c>
      <c r="O188" s="78">
        <f t="shared" si="142"/>
        <v>0.16361879884</v>
      </c>
      <c r="P188" s="78">
        <f>O188</f>
        <v>0.16361879884</v>
      </c>
      <c r="Q188" s="78">
        <f t="shared" si="116"/>
        <v>0.16361879884</v>
      </c>
      <c r="R188" s="78">
        <f t="shared" si="117"/>
        <v>0.16361879884</v>
      </c>
      <c r="S188" s="78">
        <f t="shared" si="118"/>
        <v>0.16361879884</v>
      </c>
      <c r="T188" s="78">
        <f t="shared" si="119"/>
        <v>0.16361879884</v>
      </c>
      <c r="U188" s="78">
        <f t="shared" si="120"/>
        <v>0.16361879884</v>
      </c>
      <c r="V188" s="78">
        <f t="shared" si="121"/>
        <v>0.16361879884</v>
      </c>
      <c r="W188" s="78">
        <f t="shared" si="122"/>
        <v>0.16361879884</v>
      </c>
      <c r="X188" s="78">
        <f t="shared" si="123"/>
        <v>0.16361879884</v>
      </c>
      <c r="Y188" s="78">
        <f t="shared" si="124"/>
        <v>0.16361879884</v>
      </c>
      <c r="Z188" s="78">
        <f t="shared" si="125"/>
        <v>0.16361879884</v>
      </c>
      <c r="AA188" s="78">
        <f t="shared" si="126"/>
        <v>0.16361879884</v>
      </c>
      <c r="AB188" s="78">
        <f t="shared" si="127"/>
        <v>0.16361879884</v>
      </c>
      <c r="AC188" s="78">
        <f t="shared" si="128"/>
        <v>0.16361879884</v>
      </c>
      <c r="AD188" s="78">
        <f t="shared" si="129"/>
        <v>0.16361879884</v>
      </c>
      <c r="AE188" s="78">
        <f t="shared" si="130"/>
        <v>0.16361879884</v>
      </c>
      <c r="AF188" s="78">
        <f t="shared" si="131"/>
        <v>0.16361879884</v>
      </c>
      <c r="AG188" s="78">
        <f t="shared" si="132"/>
        <v>0.16361879884</v>
      </c>
      <c r="AH188" s="78">
        <f t="shared" si="133"/>
        <v>0.16361879884</v>
      </c>
      <c r="AI188" s="78">
        <f t="shared" si="134"/>
        <v>0.16361879884</v>
      </c>
      <c r="AJ188" s="78">
        <f t="shared" si="135"/>
        <v>0.16361879884</v>
      </c>
      <c r="AK188" s="78">
        <f t="shared" si="136"/>
        <v>0.16361879884</v>
      </c>
      <c r="AL188" s="78">
        <f t="shared" si="137"/>
        <v>0.16361879884</v>
      </c>
      <c r="AM188" s="78">
        <f t="shared" si="138"/>
        <v>0.16361879884</v>
      </c>
      <c r="AN188" s="78">
        <f t="shared" si="139"/>
        <v>0.16361879884</v>
      </c>
      <c r="AO188" s="78">
        <f t="shared" si="140"/>
        <v>0.16361879884</v>
      </c>
      <c r="AP188" s="78">
        <f t="shared" si="141"/>
        <v>0.16361879884</v>
      </c>
    </row>
    <row r="189" spans="1:42" s="77" customFormat="1" x14ac:dyDescent="0.3">
      <c r="A189" s="100">
        <f t="shared" si="83"/>
        <v>21</v>
      </c>
      <c r="B189" s="76" t="s">
        <v>458</v>
      </c>
      <c r="C189" s="76" t="s">
        <v>472</v>
      </c>
      <c r="D189" s="76">
        <v>8</v>
      </c>
      <c r="E189" s="76" t="s">
        <v>344</v>
      </c>
      <c r="F189" s="76" t="s">
        <v>352</v>
      </c>
      <c r="G189" s="76" t="s">
        <v>334</v>
      </c>
      <c r="H189" s="76"/>
      <c r="I189" s="76">
        <v>0</v>
      </c>
      <c r="J189" s="101"/>
      <c r="K189" s="93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</row>
    <row r="190" spans="1:42" s="77" customFormat="1" x14ac:dyDescent="0.3">
      <c r="A190" s="100">
        <f t="shared" si="83"/>
        <v>21</v>
      </c>
      <c r="B190" s="76" t="s">
        <v>458</v>
      </c>
      <c r="C190" s="76" t="s">
        <v>472</v>
      </c>
      <c r="D190" s="76">
        <v>9</v>
      </c>
      <c r="E190" s="76" t="s">
        <v>345</v>
      </c>
      <c r="F190" s="76" t="s">
        <v>353</v>
      </c>
      <c r="G190" s="76" t="s">
        <v>338</v>
      </c>
      <c r="H190" s="76" t="s">
        <v>449</v>
      </c>
      <c r="I190" s="76">
        <v>0</v>
      </c>
      <c r="J190" s="102">
        <v>8.3338572026979169E-2</v>
      </c>
      <c r="K190" s="94">
        <v>8.5441555057751153E-2</v>
      </c>
      <c r="L190" s="78">
        <v>8.1115950545806781E-2</v>
      </c>
      <c r="M190" s="78">
        <v>8.3849118019068775E-2</v>
      </c>
      <c r="N190" s="78">
        <v>8.0866602024431244E-2</v>
      </c>
      <c r="O190" s="78">
        <v>8.1157810603362038E-2</v>
      </c>
      <c r="P190" s="78">
        <f>O190</f>
        <v>8.1157810603362038E-2</v>
      </c>
      <c r="Q190" s="78">
        <f t="shared" ref="Q190:AP190" si="143">P190</f>
        <v>8.1157810603362038E-2</v>
      </c>
      <c r="R190" s="78">
        <f t="shared" si="143"/>
        <v>8.1157810603362038E-2</v>
      </c>
      <c r="S190" s="78">
        <f t="shared" si="143"/>
        <v>8.1157810603362038E-2</v>
      </c>
      <c r="T190" s="78">
        <f t="shared" si="143"/>
        <v>8.1157810603362038E-2</v>
      </c>
      <c r="U190" s="78">
        <f t="shared" si="143"/>
        <v>8.1157810603362038E-2</v>
      </c>
      <c r="V190" s="78">
        <f t="shared" si="143"/>
        <v>8.1157810603362038E-2</v>
      </c>
      <c r="W190" s="78">
        <f t="shared" si="143"/>
        <v>8.1157810603362038E-2</v>
      </c>
      <c r="X190" s="78">
        <f t="shared" si="143"/>
        <v>8.1157810603362038E-2</v>
      </c>
      <c r="Y190" s="78">
        <f t="shared" si="143"/>
        <v>8.1157810603362038E-2</v>
      </c>
      <c r="Z190" s="78">
        <f t="shared" si="143"/>
        <v>8.1157810603362038E-2</v>
      </c>
      <c r="AA190" s="78">
        <f t="shared" si="143"/>
        <v>8.1157810603362038E-2</v>
      </c>
      <c r="AB190" s="78">
        <f t="shared" si="143"/>
        <v>8.1157810603362038E-2</v>
      </c>
      <c r="AC190" s="78">
        <f t="shared" si="143"/>
        <v>8.1157810603362038E-2</v>
      </c>
      <c r="AD190" s="78">
        <f t="shared" si="143"/>
        <v>8.1157810603362038E-2</v>
      </c>
      <c r="AE190" s="78">
        <f t="shared" si="143"/>
        <v>8.1157810603362038E-2</v>
      </c>
      <c r="AF190" s="78">
        <f t="shared" si="143"/>
        <v>8.1157810603362038E-2</v>
      </c>
      <c r="AG190" s="78">
        <f t="shared" si="143"/>
        <v>8.1157810603362038E-2</v>
      </c>
      <c r="AH190" s="78">
        <f t="shared" si="143"/>
        <v>8.1157810603362038E-2</v>
      </c>
      <c r="AI190" s="78">
        <f t="shared" si="143"/>
        <v>8.1157810603362038E-2</v>
      </c>
      <c r="AJ190" s="78">
        <f t="shared" si="143"/>
        <v>8.1157810603362038E-2</v>
      </c>
      <c r="AK190" s="78">
        <f t="shared" si="143"/>
        <v>8.1157810603362038E-2</v>
      </c>
      <c r="AL190" s="78">
        <f t="shared" si="143"/>
        <v>8.1157810603362038E-2</v>
      </c>
      <c r="AM190" s="78">
        <f t="shared" si="143"/>
        <v>8.1157810603362038E-2</v>
      </c>
      <c r="AN190" s="78">
        <f t="shared" si="143"/>
        <v>8.1157810603362038E-2</v>
      </c>
      <c r="AO190" s="78">
        <f t="shared" si="143"/>
        <v>8.1157810603362038E-2</v>
      </c>
      <c r="AP190" s="78">
        <f t="shared" si="143"/>
        <v>8.1157810603362038E-2</v>
      </c>
    </row>
    <row r="191" spans="1:42" s="77" customFormat="1" ht="15" thickBot="1" x14ac:dyDescent="0.35">
      <c r="A191" s="104">
        <f t="shared" si="83"/>
        <v>21</v>
      </c>
      <c r="B191" s="105" t="s">
        <v>458</v>
      </c>
      <c r="C191" s="105" t="s">
        <v>472</v>
      </c>
      <c r="D191" s="105">
        <v>10</v>
      </c>
      <c r="E191" s="105" t="s">
        <v>346</v>
      </c>
      <c r="F191" s="105" t="s">
        <v>353</v>
      </c>
      <c r="G191" s="105" t="s">
        <v>350</v>
      </c>
      <c r="H191" s="105"/>
      <c r="I191" s="105">
        <v>0</v>
      </c>
      <c r="J191" s="106">
        <v>1</v>
      </c>
      <c r="K191" s="93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</row>
    <row r="192" spans="1:42" s="77" customFormat="1" x14ac:dyDescent="0.3">
      <c r="A192" s="97">
        <f t="shared" ref="A192" si="144">A182+1</f>
        <v>22</v>
      </c>
      <c r="B192" s="98" t="s">
        <v>460</v>
      </c>
      <c r="C192" s="98" t="s">
        <v>473</v>
      </c>
      <c r="D192" s="98">
        <v>1</v>
      </c>
      <c r="E192" s="98" t="s">
        <v>333</v>
      </c>
      <c r="F192" s="98" t="s">
        <v>349</v>
      </c>
      <c r="G192" s="98" t="s">
        <v>338</v>
      </c>
      <c r="H192" s="98" t="s">
        <v>440</v>
      </c>
      <c r="I192" s="98">
        <v>0</v>
      </c>
      <c r="J192" s="99">
        <v>1084</v>
      </c>
      <c r="K192" s="93">
        <v>1084</v>
      </c>
      <c r="L192" s="76">
        <v>1084</v>
      </c>
      <c r="M192" s="76">
        <v>1010.741288278775</v>
      </c>
      <c r="N192" s="76">
        <v>1005.0179514255543</v>
      </c>
      <c r="O192" s="76">
        <v>991.28194297782466</v>
      </c>
      <c r="P192" s="76">
        <v>982.12460401267163</v>
      </c>
      <c r="Q192" s="76">
        <v>975.25659978880674</v>
      </c>
      <c r="R192" s="76">
        <v>967.24392819429772</v>
      </c>
      <c r="S192" s="76">
        <v>961.52059134107697</v>
      </c>
      <c r="T192" s="76">
        <v>955.79725448785632</v>
      </c>
      <c r="U192" s="76">
        <v>952.36325237592393</v>
      </c>
      <c r="V192" s="76">
        <v>946.63991552270318</v>
      </c>
      <c r="W192" s="76">
        <v>943.20591341077079</v>
      </c>
      <c r="X192" s="76">
        <v>938.62724392819428</v>
      </c>
      <c r="Y192" s="76">
        <v>935.19324181626178</v>
      </c>
      <c r="Z192" s="76">
        <v>930.61457233368526</v>
      </c>
      <c r="AA192" s="76">
        <v>927.18057022175276</v>
      </c>
      <c r="AB192" s="76">
        <v>922.60190073917624</v>
      </c>
      <c r="AC192" s="76">
        <v>919.16789862724386</v>
      </c>
      <c r="AD192" s="76">
        <v>914.58922914466734</v>
      </c>
      <c r="AE192" s="76">
        <v>911.15522703273484</v>
      </c>
      <c r="AF192" s="76">
        <v>907.72122492080234</v>
      </c>
      <c r="AG192" s="76">
        <v>903.14255543822594</v>
      </c>
      <c r="AH192" s="76">
        <v>899.70855332629344</v>
      </c>
      <c r="AI192" s="76">
        <v>895.12988384371681</v>
      </c>
      <c r="AJ192" s="76">
        <v>891.69588173178454</v>
      </c>
      <c r="AK192" s="76">
        <v>887.11721224920802</v>
      </c>
      <c r="AL192" s="76">
        <v>883.68321013727564</v>
      </c>
      <c r="AM192" s="76">
        <v>879.10454065469901</v>
      </c>
      <c r="AN192" s="76">
        <v>876.81520591341064</v>
      </c>
      <c r="AO192" s="76">
        <v>874.52587117212238</v>
      </c>
      <c r="AP192" s="76">
        <v>874.52587117212238</v>
      </c>
    </row>
    <row r="193" spans="1:42" s="77" customFormat="1" x14ac:dyDescent="0.3">
      <c r="A193" s="100">
        <f t="shared" ref="A193:A201" si="145">A192</f>
        <v>22</v>
      </c>
      <c r="B193" s="76" t="s">
        <v>460</v>
      </c>
      <c r="C193" s="76" t="s">
        <v>473</v>
      </c>
      <c r="D193" s="76">
        <v>2</v>
      </c>
      <c r="E193" s="76" t="s">
        <v>335</v>
      </c>
      <c r="F193" s="76" t="s">
        <v>349</v>
      </c>
      <c r="G193" s="76" t="s">
        <v>350</v>
      </c>
      <c r="H193" s="76" t="s">
        <v>440</v>
      </c>
      <c r="I193" s="76">
        <v>0</v>
      </c>
      <c r="J193" s="101">
        <v>14.1</v>
      </c>
      <c r="K193" s="93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</row>
    <row r="194" spans="1:42" s="77" customFormat="1" x14ac:dyDescent="0.3">
      <c r="A194" s="100">
        <f t="shared" si="145"/>
        <v>22</v>
      </c>
      <c r="B194" s="76" t="s">
        <v>460</v>
      </c>
      <c r="C194" s="76" t="s">
        <v>473</v>
      </c>
      <c r="D194" s="76">
        <v>3</v>
      </c>
      <c r="E194" s="76" t="s">
        <v>336</v>
      </c>
      <c r="F194" s="76" t="s">
        <v>337</v>
      </c>
      <c r="G194" s="76" t="s">
        <v>338</v>
      </c>
      <c r="H194" s="76" t="s">
        <v>440</v>
      </c>
      <c r="I194" s="76">
        <v>0</v>
      </c>
      <c r="J194" s="102">
        <v>0.37533401180208015</v>
      </c>
      <c r="K194" s="94">
        <v>0.35273374559244275</v>
      </c>
      <c r="L194" s="78">
        <v>0.28613070419299563</v>
      </c>
      <c r="M194" s="78">
        <v>0.39800386712449315</v>
      </c>
      <c r="N194" s="78">
        <v>0.46330255865948261</v>
      </c>
      <c r="O194" s="78">
        <v>0.37510097747429882</v>
      </c>
      <c r="P194" s="78">
        <v>0.37510097747429882</v>
      </c>
      <c r="Q194" s="78">
        <v>0.37510097747429882</v>
      </c>
      <c r="R194" s="78">
        <v>0.37510097747429882</v>
      </c>
      <c r="S194" s="78">
        <v>0.37510097747429882</v>
      </c>
      <c r="T194" s="78">
        <v>0.37510097747429882</v>
      </c>
      <c r="U194" s="78">
        <v>0.37510097747429882</v>
      </c>
      <c r="V194" s="78">
        <v>0.37510097747429882</v>
      </c>
      <c r="W194" s="78">
        <v>0.37510097747429882</v>
      </c>
      <c r="X194" s="78">
        <v>0.37510097747429882</v>
      </c>
      <c r="Y194" s="78">
        <v>0.37510097747429882</v>
      </c>
      <c r="Z194" s="78">
        <v>0.37510097747429882</v>
      </c>
      <c r="AA194" s="78">
        <v>0.37510097747429882</v>
      </c>
      <c r="AB194" s="78">
        <v>0.37510097747429882</v>
      </c>
      <c r="AC194" s="78">
        <v>0.37510097747429882</v>
      </c>
      <c r="AD194" s="78">
        <v>0.37510097747429882</v>
      </c>
      <c r="AE194" s="78">
        <v>0.37510097747429882</v>
      </c>
      <c r="AF194" s="78">
        <v>0.37510097747429882</v>
      </c>
      <c r="AG194" s="78">
        <v>0.37510097747429882</v>
      </c>
      <c r="AH194" s="78">
        <v>0.37510097747429882</v>
      </c>
      <c r="AI194" s="78">
        <v>0.37510097747429882</v>
      </c>
      <c r="AJ194" s="78">
        <v>0.37510097747429882</v>
      </c>
      <c r="AK194" s="78">
        <v>0.37510097747429882</v>
      </c>
      <c r="AL194" s="78">
        <v>0.37510097747429882</v>
      </c>
      <c r="AM194" s="78">
        <v>0.37510097747429882</v>
      </c>
      <c r="AN194" s="78">
        <v>0.37510097747429882</v>
      </c>
      <c r="AO194" s="78">
        <v>0.37510097747429882</v>
      </c>
      <c r="AP194" s="78">
        <v>0.37510097747429882</v>
      </c>
    </row>
    <row r="195" spans="1:42" s="77" customFormat="1" x14ac:dyDescent="0.3">
      <c r="A195" s="100">
        <f t="shared" si="145"/>
        <v>22</v>
      </c>
      <c r="B195" s="76" t="s">
        <v>460</v>
      </c>
      <c r="C195" s="76" t="s">
        <v>473</v>
      </c>
      <c r="D195" s="76">
        <v>4</v>
      </c>
      <c r="E195" s="76" t="s">
        <v>339</v>
      </c>
      <c r="F195" s="76" t="s">
        <v>352</v>
      </c>
      <c r="G195" s="76" t="s">
        <v>350</v>
      </c>
      <c r="H195" s="76" t="s">
        <v>449</v>
      </c>
      <c r="I195" s="76">
        <v>0</v>
      </c>
      <c r="J195" s="103">
        <v>5.9070499854122502E-4</v>
      </c>
      <c r="K195" s="93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</row>
    <row r="196" spans="1:42" s="77" customFormat="1" x14ac:dyDescent="0.3">
      <c r="A196" s="100">
        <f t="shared" si="145"/>
        <v>22</v>
      </c>
      <c r="B196" s="76" t="s">
        <v>460</v>
      </c>
      <c r="C196" s="76" t="s">
        <v>473</v>
      </c>
      <c r="D196" s="76">
        <v>5</v>
      </c>
      <c r="E196" s="76" t="s">
        <v>340</v>
      </c>
      <c r="F196" s="76" t="s">
        <v>352</v>
      </c>
      <c r="G196" s="50" t="s">
        <v>334</v>
      </c>
      <c r="H196" s="76"/>
      <c r="I196" s="76">
        <v>0</v>
      </c>
      <c r="J196" s="102"/>
      <c r="K196" s="94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</row>
    <row r="197" spans="1:42" s="77" customFormat="1" x14ac:dyDescent="0.3">
      <c r="A197" s="100">
        <f t="shared" si="145"/>
        <v>22</v>
      </c>
      <c r="B197" s="120" t="s">
        <v>460</v>
      </c>
      <c r="C197" s="76" t="s">
        <v>473</v>
      </c>
      <c r="D197" s="76">
        <v>6</v>
      </c>
      <c r="E197" s="76" t="s">
        <v>341</v>
      </c>
      <c r="F197" s="76"/>
      <c r="G197" s="76" t="s">
        <v>338</v>
      </c>
      <c r="H197" s="120" t="s">
        <v>449</v>
      </c>
      <c r="I197" s="76">
        <v>0</v>
      </c>
      <c r="J197" s="121">
        <v>1.5524703250286065E-3</v>
      </c>
      <c r="K197" s="122">
        <v>6.4278782725879903E-4</v>
      </c>
      <c r="L197" s="123">
        <v>0</v>
      </c>
      <c r="M197" s="123">
        <v>0</v>
      </c>
      <c r="N197" s="123">
        <v>0</v>
      </c>
      <c r="O197" s="124">
        <v>0</v>
      </c>
      <c r="P197" s="78">
        <f t="shared" ref="P197" si="146">O197</f>
        <v>0</v>
      </c>
      <c r="Q197" s="78">
        <f t="shared" ref="Q197" si="147">P197</f>
        <v>0</v>
      </c>
      <c r="R197" s="78">
        <f t="shared" ref="R197" si="148">Q197</f>
        <v>0</v>
      </c>
      <c r="S197" s="78">
        <f t="shared" ref="S197" si="149">R197</f>
        <v>0</v>
      </c>
      <c r="T197" s="78">
        <f t="shared" ref="T197:T198" si="150">S197</f>
        <v>0</v>
      </c>
      <c r="U197" s="78">
        <f t="shared" ref="U197:U198" si="151">T197</f>
        <v>0</v>
      </c>
      <c r="V197" s="78">
        <f t="shared" ref="V197:V198" si="152">U197</f>
        <v>0</v>
      </c>
      <c r="W197" s="78">
        <f t="shared" ref="W197:W198" si="153">V197</f>
        <v>0</v>
      </c>
      <c r="X197" s="78">
        <f t="shared" ref="X197:X198" si="154">W197</f>
        <v>0</v>
      </c>
      <c r="Y197" s="78">
        <f t="shared" ref="Y197:Y198" si="155">X197</f>
        <v>0</v>
      </c>
      <c r="Z197" s="78">
        <f t="shared" ref="Z197:Z198" si="156">Y197</f>
        <v>0</v>
      </c>
      <c r="AA197" s="78">
        <f t="shared" ref="AA197:AA198" si="157">Z197</f>
        <v>0</v>
      </c>
      <c r="AB197" s="78">
        <f t="shared" ref="AB197:AB198" si="158">AA197</f>
        <v>0</v>
      </c>
      <c r="AC197" s="78">
        <f t="shared" ref="AC197:AC198" si="159">AB197</f>
        <v>0</v>
      </c>
      <c r="AD197" s="78">
        <f t="shared" ref="AD197:AD198" si="160">AC197</f>
        <v>0</v>
      </c>
      <c r="AE197" s="78">
        <f t="shared" ref="AE197:AE198" si="161">AD197</f>
        <v>0</v>
      </c>
      <c r="AF197" s="78">
        <f t="shared" ref="AF197:AF198" si="162">AE197</f>
        <v>0</v>
      </c>
      <c r="AG197" s="78">
        <f t="shared" ref="AG197:AG198" si="163">AF197</f>
        <v>0</v>
      </c>
      <c r="AH197" s="78">
        <f t="shared" ref="AH197:AH198" si="164">AG197</f>
        <v>0</v>
      </c>
      <c r="AI197" s="78">
        <f t="shared" ref="AI197:AI198" si="165">AH197</f>
        <v>0</v>
      </c>
      <c r="AJ197" s="78">
        <f t="shared" ref="AJ197:AJ198" si="166">AI197</f>
        <v>0</v>
      </c>
      <c r="AK197" s="78">
        <f t="shared" ref="AK197:AK198" si="167">AJ197</f>
        <v>0</v>
      </c>
      <c r="AL197" s="78">
        <f t="shared" ref="AL197:AL198" si="168">AK197</f>
        <v>0</v>
      </c>
      <c r="AM197" s="78">
        <f t="shared" ref="AM197:AM198" si="169">AL197</f>
        <v>0</v>
      </c>
      <c r="AN197" s="78">
        <f t="shared" ref="AN197:AN198" si="170">AM197</f>
        <v>0</v>
      </c>
      <c r="AO197" s="78">
        <f t="shared" ref="AO197:AO198" si="171">AN197</f>
        <v>0</v>
      </c>
      <c r="AP197" s="78">
        <f t="shared" ref="AP197:AP198" si="172">AO197</f>
        <v>0</v>
      </c>
    </row>
    <row r="198" spans="1:42" s="77" customFormat="1" x14ac:dyDescent="0.3">
      <c r="A198" s="100">
        <f t="shared" si="145"/>
        <v>22</v>
      </c>
      <c r="B198" s="120" t="s">
        <v>460</v>
      </c>
      <c r="C198" s="76" t="s">
        <v>473</v>
      </c>
      <c r="D198" s="76">
        <v>7</v>
      </c>
      <c r="E198" s="76" t="s">
        <v>343</v>
      </c>
      <c r="F198" s="76" t="s">
        <v>342</v>
      </c>
      <c r="G198" s="76" t="s">
        <v>338</v>
      </c>
      <c r="H198" s="76"/>
      <c r="I198" s="76">
        <v>0</v>
      </c>
      <c r="J198" s="121">
        <f>J197*0.98</f>
        <v>1.5214209185280343E-3</v>
      </c>
      <c r="K198" s="122">
        <f t="shared" ref="K198:Q198" si="173">K197*0.98</f>
        <v>6.2993207071362304E-4</v>
      </c>
      <c r="L198" s="123">
        <f t="shared" si="173"/>
        <v>0</v>
      </c>
      <c r="M198" s="123">
        <f t="shared" si="173"/>
        <v>0</v>
      </c>
      <c r="N198" s="123">
        <f t="shared" si="173"/>
        <v>0</v>
      </c>
      <c r="O198" s="124">
        <f t="shared" si="173"/>
        <v>0</v>
      </c>
      <c r="P198" s="78">
        <f t="shared" si="173"/>
        <v>0</v>
      </c>
      <c r="Q198" s="78">
        <f t="shared" si="173"/>
        <v>0</v>
      </c>
      <c r="R198" s="78">
        <f>Q198</f>
        <v>0</v>
      </c>
      <c r="S198" s="78">
        <f>R198</f>
        <v>0</v>
      </c>
      <c r="T198" s="78">
        <f t="shared" si="150"/>
        <v>0</v>
      </c>
      <c r="U198" s="78">
        <f t="shared" si="151"/>
        <v>0</v>
      </c>
      <c r="V198" s="78">
        <f t="shared" si="152"/>
        <v>0</v>
      </c>
      <c r="W198" s="78">
        <f t="shared" si="153"/>
        <v>0</v>
      </c>
      <c r="X198" s="78">
        <f t="shared" si="154"/>
        <v>0</v>
      </c>
      <c r="Y198" s="78">
        <f t="shared" si="155"/>
        <v>0</v>
      </c>
      <c r="Z198" s="78">
        <f t="shared" si="156"/>
        <v>0</v>
      </c>
      <c r="AA198" s="78">
        <f t="shared" si="157"/>
        <v>0</v>
      </c>
      <c r="AB198" s="78">
        <f t="shared" si="158"/>
        <v>0</v>
      </c>
      <c r="AC198" s="78">
        <f t="shared" si="159"/>
        <v>0</v>
      </c>
      <c r="AD198" s="78">
        <f t="shared" si="160"/>
        <v>0</v>
      </c>
      <c r="AE198" s="78">
        <f t="shared" si="161"/>
        <v>0</v>
      </c>
      <c r="AF198" s="78">
        <f t="shared" si="162"/>
        <v>0</v>
      </c>
      <c r="AG198" s="78">
        <f t="shared" si="163"/>
        <v>0</v>
      </c>
      <c r="AH198" s="78">
        <f t="shared" si="164"/>
        <v>0</v>
      </c>
      <c r="AI198" s="78">
        <f t="shared" si="165"/>
        <v>0</v>
      </c>
      <c r="AJ198" s="78">
        <f t="shared" si="166"/>
        <v>0</v>
      </c>
      <c r="AK198" s="78">
        <f t="shared" si="167"/>
        <v>0</v>
      </c>
      <c r="AL198" s="78">
        <f t="shared" si="168"/>
        <v>0</v>
      </c>
      <c r="AM198" s="78">
        <f t="shared" si="169"/>
        <v>0</v>
      </c>
      <c r="AN198" s="78">
        <f t="shared" si="170"/>
        <v>0</v>
      </c>
      <c r="AO198" s="78">
        <f t="shared" si="171"/>
        <v>0</v>
      </c>
      <c r="AP198" s="78">
        <f t="shared" si="172"/>
        <v>0</v>
      </c>
    </row>
    <row r="199" spans="1:42" s="77" customFormat="1" x14ac:dyDescent="0.3">
      <c r="A199" s="100">
        <f t="shared" si="145"/>
        <v>22</v>
      </c>
      <c r="B199" s="76" t="s">
        <v>460</v>
      </c>
      <c r="C199" s="76" t="s">
        <v>473</v>
      </c>
      <c r="D199" s="76">
        <v>8</v>
      </c>
      <c r="E199" s="76" t="s">
        <v>344</v>
      </c>
      <c r="F199" s="76" t="s">
        <v>352</v>
      </c>
      <c r="G199" s="50" t="s">
        <v>334</v>
      </c>
      <c r="H199" s="76"/>
      <c r="I199" s="76">
        <v>0</v>
      </c>
      <c r="J199" s="101"/>
      <c r="K199" s="93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</row>
    <row r="200" spans="1:42" s="77" customFormat="1" x14ac:dyDescent="0.3">
      <c r="A200" s="100">
        <f t="shared" si="145"/>
        <v>22</v>
      </c>
      <c r="B200" s="76" t="s">
        <v>460</v>
      </c>
      <c r="C200" s="76" t="s">
        <v>473</v>
      </c>
      <c r="D200" s="76">
        <v>9</v>
      </c>
      <c r="E200" s="76" t="s">
        <v>345</v>
      </c>
      <c r="F200" s="76" t="s">
        <v>353</v>
      </c>
      <c r="G200" s="76" t="s">
        <v>338</v>
      </c>
      <c r="H200" s="76" t="s">
        <v>449</v>
      </c>
      <c r="I200" s="76">
        <v>0</v>
      </c>
      <c r="J200" s="102">
        <v>8.3338572026979169E-2</v>
      </c>
      <c r="K200" s="94">
        <v>8.5441555057751153E-2</v>
      </c>
      <c r="L200" s="78">
        <v>8.1115950545806781E-2</v>
      </c>
      <c r="M200" s="78">
        <v>8.3849118019068775E-2</v>
      </c>
      <c r="N200" s="78">
        <v>8.0866602024431244E-2</v>
      </c>
      <c r="O200" s="78">
        <v>8.1157810603362038E-2</v>
      </c>
      <c r="P200" s="78">
        <f>O200</f>
        <v>8.1157810603362038E-2</v>
      </c>
      <c r="Q200" s="78">
        <f t="shared" ref="Q200:AP200" si="174">P200</f>
        <v>8.1157810603362038E-2</v>
      </c>
      <c r="R200" s="78">
        <f t="shared" si="174"/>
        <v>8.1157810603362038E-2</v>
      </c>
      <c r="S200" s="78">
        <f t="shared" si="174"/>
        <v>8.1157810603362038E-2</v>
      </c>
      <c r="T200" s="78">
        <f t="shared" si="174"/>
        <v>8.1157810603362038E-2</v>
      </c>
      <c r="U200" s="78">
        <f t="shared" si="174"/>
        <v>8.1157810603362038E-2</v>
      </c>
      <c r="V200" s="78">
        <f t="shared" si="174"/>
        <v>8.1157810603362038E-2</v>
      </c>
      <c r="W200" s="78">
        <f t="shared" si="174"/>
        <v>8.1157810603362038E-2</v>
      </c>
      <c r="X200" s="78">
        <f t="shared" si="174"/>
        <v>8.1157810603362038E-2</v>
      </c>
      <c r="Y200" s="78">
        <f t="shared" si="174"/>
        <v>8.1157810603362038E-2</v>
      </c>
      <c r="Z200" s="78">
        <f t="shared" si="174"/>
        <v>8.1157810603362038E-2</v>
      </c>
      <c r="AA200" s="78">
        <f t="shared" si="174"/>
        <v>8.1157810603362038E-2</v>
      </c>
      <c r="AB200" s="78">
        <f t="shared" si="174"/>
        <v>8.1157810603362038E-2</v>
      </c>
      <c r="AC200" s="78">
        <f t="shared" si="174"/>
        <v>8.1157810603362038E-2</v>
      </c>
      <c r="AD200" s="78">
        <f t="shared" si="174"/>
        <v>8.1157810603362038E-2</v>
      </c>
      <c r="AE200" s="78">
        <f t="shared" si="174"/>
        <v>8.1157810603362038E-2</v>
      </c>
      <c r="AF200" s="78">
        <f t="shared" si="174"/>
        <v>8.1157810603362038E-2</v>
      </c>
      <c r="AG200" s="78">
        <f t="shared" si="174"/>
        <v>8.1157810603362038E-2</v>
      </c>
      <c r="AH200" s="78">
        <f t="shared" si="174"/>
        <v>8.1157810603362038E-2</v>
      </c>
      <c r="AI200" s="78">
        <f t="shared" si="174"/>
        <v>8.1157810603362038E-2</v>
      </c>
      <c r="AJ200" s="78">
        <f t="shared" si="174"/>
        <v>8.1157810603362038E-2</v>
      </c>
      <c r="AK200" s="78">
        <f t="shared" si="174"/>
        <v>8.1157810603362038E-2</v>
      </c>
      <c r="AL200" s="78">
        <f t="shared" si="174"/>
        <v>8.1157810603362038E-2</v>
      </c>
      <c r="AM200" s="78">
        <f t="shared" si="174"/>
        <v>8.1157810603362038E-2</v>
      </c>
      <c r="AN200" s="78">
        <f t="shared" si="174"/>
        <v>8.1157810603362038E-2</v>
      </c>
      <c r="AO200" s="78">
        <f t="shared" si="174"/>
        <v>8.1157810603362038E-2</v>
      </c>
      <c r="AP200" s="78">
        <f t="shared" si="174"/>
        <v>8.1157810603362038E-2</v>
      </c>
    </row>
    <row r="201" spans="1:42" s="77" customFormat="1" ht="15" thickBot="1" x14ac:dyDescent="0.35">
      <c r="A201" s="104">
        <f t="shared" si="145"/>
        <v>22</v>
      </c>
      <c r="B201" s="105" t="s">
        <v>460</v>
      </c>
      <c r="C201" s="105" t="s">
        <v>473</v>
      </c>
      <c r="D201" s="105">
        <v>10</v>
      </c>
      <c r="E201" s="105" t="s">
        <v>346</v>
      </c>
      <c r="F201" s="105" t="s">
        <v>353</v>
      </c>
      <c r="G201" s="105" t="s">
        <v>350</v>
      </c>
      <c r="H201" s="105"/>
      <c r="I201" s="105">
        <v>0</v>
      </c>
      <c r="J201" s="106">
        <v>1</v>
      </c>
      <c r="K201" s="93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</row>
    <row r="202" spans="1:42" s="77" customFormat="1" x14ac:dyDescent="0.3">
      <c r="A202" s="97">
        <f t="shared" ref="A202" si="175">A192+1</f>
        <v>23</v>
      </c>
      <c r="B202" s="98" t="s">
        <v>462</v>
      </c>
      <c r="C202" s="98" t="s">
        <v>474</v>
      </c>
      <c r="D202" s="98">
        <v>1</v>
      </c>
      <c r="E202" s="98" t="s">
        <v>333</v>
      </c>
      <c r="F202" s="98" t="s">
        <v>349</v>
      </c>
      <c r="G202" s="98" t="s">
        <v>338</v>
      </c>
      <c r="H202" s="98" t="s">
        <v>440</v>
      </c>
      <c r="I202" s="98">
        <v>0</v>
      </c>
      <c r="J202" s="99">
        <v>1084</v>
      </c>
      <c r="K202" s="93">
        <v>1084</v>
      </c>
      <c r="L202" s="76">
        <v>1084</v>
      </c>
      <c r="M202" s="76">
        <v>1010.741288278775</v>
      </c>
      <c r="N202" s="76">
        <v>1005.0179514255543</v>
      </c>
      <c r="O202" s="76">
        <v>991.28194297782466</v>
      </c>
      <c r="P202" s="76">
        <v>982.12460401267163</v>
      </c>
      <c r="Q202" s="76">
        <v>975.25659978880674</v>
      </c>
      <c r="R202" s="76">
        <v>967.24392819429772</v>
      </c>
      <c r="S202" s="76">
        <v>961.52059134107697</v>
      </c>
      <c r="T202" s="76">
        <v>955.79725448785632</v>
      </c>
      <c r="U202" s="76">
        <v>952.36325237592393</v>
      </c>
      <c r="V202" s="76">
        <v>946.63991552270318</v>
      </c>
      <c r="W202" s="76">
        <v>943.20591341077079</v>
      </c>
      <c r="X202" s="76">
        <v>938.62724392819428</v>
      </c>
      <c r="Y202" s="76">
        <v>935.19324181626178</v>
      </c>
      <c r="Z202" s="76">
        <v>930.61457233368526</v>
      </c>
      <c r="AA202" s="76">
        <v>927.18057022175276</v>
      </c>
      <c r="AB202" s="76">
        <v>922.60190073917624</v>
      </c>
      <c r="AC202" s="76">
        <v>919.16789862724386</v>
      </c>
      <c r="AD202" s="76">
        <v>914.58922914466734</v>
      </c>
      <c r="AE202" s="76">
        <v>911.15522703273484</v>
      </c>
      <c r="AF202" s="76">
        <v>907.72122492080234</v>
      </c>
      <c r="AG202" s="76">
        <v>903.14255543822594</v>
      </c>
      <c r="AH202" s="76">
        <v>899.70855332629344</v>
      </c>
      <c r="AI202" s="76">
        <v>895.12988384371681</v>
      </c>
      <c r="AJ202" s="76">
        <v>891.69588173178454</v>
      </c>
      <c r="AK202" s="76">
        <v>887.11721224920802</v>
      </c>
      <c r="AL202" s="76">
        <v>883.68321013727564</v>
      </c>
      <c r="AM202" s="76">
        <v>879.10454065469901</v>
      </c>
      <c r="AN202" s="76">
        <v>876.81520591341064</v>
      </c>
      <c r="AO202" s="76">
        <v>874.52587117212238</v>
      </c>
      <c r="AP202" s="76">
        <v>874.52587117212238</v>
      </c>
    </row>
    <row r="203" spans="1:42" s="77" customFormat="1" x14ac:dyDescent="0.3">
      <c r="A203" s="100">
        <f t="shared" ref="A203:A221" si="176">A202</f>
        <v>23</v>
      </c>
      <c r="B203" s="76" t="s">
        <v>462</v>
      </c>
      <c r="C203" s="76" t="s">
        <v>474</v>
      </c>
      <c r="D203" s="76">
        <v>2</v>
      </c>
      <c r="E203" s="76" t="s">
        <v>335</v>
      </c>
      <c r="F203" s="76" t="s">
        <v>349</v>
      </c>
      <c r="G203" s="76" t="s">
        <v>350</v>
      </c>
      <c r="H203" s="76" t="s">
        <v>440</v>
      </c>
      <c r="I203" s="76">
        <v>0</v>
      </c>
      <c r="J203" s="101">
        <v>14.1</v>
      </c>
      <c r="K203" s="93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</row>
    <row r="204" spans="1:42" s="77" customFormat="1" x14ac:dyDescent="0.3">
      <c r="A204" s="100">
        <f t="shared" si="176"/>
        <v>23</v>
      </c>
      <c r="B204" s="76" t="s">
        <v>462</v>
      </c>
      <c r="C204" s="76" t="s">
        <v>474</v>
      </c>
      <c r="D204" s="76">
        <v>3</v>
      </c>
      <c r="E204" s="76" t="s">
        <v>336</v>
      </c>
      <c r="F204" s="76" t="s">
        <v>337</v>
      </c>
      <c r="G204" s="76" t="s">
        <v>338</v>
      </c>
      <c r="H204" s="76" t="s">
        <v>440</v>
      </c>
      <c r="I204" s="76">
        <v>0</v>
      </c>
      <c r="J204" s="101">
        <v>0.37533401180208015</v>
      </c>
      <c r="K204" s="93">
        <v>0.35273374559244275</v>
      </c>
      <c r="L204" s="76">
        <v>0.28613070419299563</v>
      </c>
      <c r="M204" s="76">
        <v>0.39800386712449315</v>
      </c>
      <c r="N204" s="76">
        <v>0.46330255865948261</v>
      </c>
      <c r="O204" s="76">
        <v>0.37510097747429882</v>
      </c>
      <c r="P204" s="76">
        <v>0.37510097747429882</v>
      </c>
      <c r="Q204" s="76">
        <v>0.37510097747429882</v>
      </c>
      <c r="R204" s="76">
        <v>0.37510097747429882</v>
      </c>
      <c r="S204" s="76">
        <v>0.37510097747429882</v>
      </c>
      <c r="T204" s="76">
        <v>0.37510097747429882</v>
      </c>
      <c r="U204" s="76">
        <v>0.37510097747429882</v>
      </c>
      <c r="V204" s="76">
        <v>0.37510097747429882</v>
      </c>
      <c r="W204" s="76">
        <v>0.37510097747429882</v>
      </c>
      <c r="X204" s="76">
        <v>0.37510097747429882</v>
      </c>
      <c r="Y204" s="76">
        <v>0.37510097747429882</v>
      </c>
      <c r="Z204" s="76">
        <v>0.37510097747429882</v>
      </c>
      <c r="AA204" s="76">
        <v>0.37510097747429882</v>
      </c>
      <c r="AB204" s="76">
        <v>0.37510097747429882</v>
      </c>
      <c r="AC204" s="76">
        <v>0.37510097747429882</v>
      </c>
      <c r="AD204" s="76">
        <v>0.37510097747429882</v>
      </c>
      <c r="AE204" s="76">
        <v>0.37510097747429882</v>
      </c>
      <c r="AF204" s="76">
        <v>0.37510097747429882</v>
      </c>
      <c r="AG204" s="76">
        <v>0.37510097747429882</v>
      </c>
      <c r="AH204" s="76">
        <v>0.37510097747429882</v>
      </c>
      <c r="AI204" s="76">
        <v>0.37510097747429882</v>
      </c>
      <c r="AJ204" s="76">
        <v>0.37510097747429882</v>
      </c>
      <c r="AK204" s="76">
        <v>0.37510097747429882</v>
      </c>
      <c r="AL204" s="76">
        <v>0.37510097747429882</v>
      </c>
      <c r="AM204" s="76">
        <v>0.37510097747429882</v>
      </c>
      <c r="AN204" s="76">
        <v>0.37510097747429882</v>
      </c>
      <c r="AO204" s="76">
        <v>0.37510097747429882</v>
      </c>
      <c r="AP204" s="76">
        <v>0.37510097747429882</v>
      </c>
    </row>
    <row r="205" spans="1:42" s="77" customFormat="1" x14ac:dyDescent="0.3">
      <c r="A205" s="100">
        <f t="shared" si="176"/>
        <v>23</v>
      </c>
      <c r="B205" s="76" t="s">
        <v>462</v>
      </c>
      <c r="C205" s="76" t="s">
        <v>474</v>
      </c>
      <c r="D205" s="76">
        <v>4</v>
      </c>
      <c r="E205" s="76" t="s">
        <v>339</v>
      </c>
      <c r="F205" s="76" t="s">
        <v>352</v>
      </c>
      <c r="G205" s="76" t="s">
        <v>350</v>
      </c>
      <c r="H205" s="76" t="s">
        <v>449</v>
      </c>
      <c r="I205" s="76">
        <v>0</v>
      </c>
      <c r="J205" s="102">
        <v>1.7718574177773581E-2</v>
      </c>
      <c r="K205" s="93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</row>
    <row r="206" spans="1:42" s="77" customFormat="1" x14ac:dyDescent="0.3">
      <c r="A206" s="100">
        <f t="shared" si="176"/>
        <v>23</v>
      </c>
      <c r="B206" s="76" t="s">
        <v>462</v>
      </c>
      <c r="C206" s="76" t="s">
        <v>474</v>
      </c>
      <c r="D206" s="76">
        <v>5</v>
      </c>
      <c r="E206" s="76" t="s">
        <v>340</v>
      </c>
      <c r="F206" s="76" t="s">
        <v>352</v>
      </c>
      <c r="G206" s="50" t="s">
        <v>334</v>
      </c>
      <c r="H206" s="76" t="s">
        <v>449</v>
      </c>
      <c r="I206" s="76">
        <v>0</v>
      </c>
      <c r="J206" s="102"/>
      <c r="K206" s="94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</row>
    <row r="207" spans="1:42" s="77" customFormat="1" x14ac:dyDescent="0.3">
      <c r="A207" s="100">
        <f t="shared" si="176"/>
        <v>23</v>
      </c>
      <c r="B207" s="76" t="s">
        <v>462</v>
      </c>
      <c r="C207" s="76" t="s">
        <v>474</v>
      </c>
      <c r="D207" s="76">
        <v>6</v>
      </c>
      <c r="E207" s="76" t="s">
        <v>341</v>
      </c>
      <c r="F207" s="76"/>
      <c r="G207" s="76" t="s">
        <v>338</v>
      </c>
      <c r="H207" s="76"/>
      <c r="I207" s="76">
        <v>0</v>
      </c>
      <c r="J207" s="102">
        <v>4.6567340179519204E-2</v>
      </c>
      <c r="K207" s="94">
        <v>5.6596268224811765E-2</v>
      </c>
      <c r="L207" s="78">
        <v>5.4714787573857199E-2</v>
      </c>
      <c r="M207" s="78">
        <v>5.7034534475295266E-2</v>
      </c>
      <c r="N207" s="78">
        <v>5.7998561298136547E-2</v>
      </c>
      <c r="O207" s="78">
        <v>6.2619348145296905E-2</v>
      </c>
      <c r="P207" s="78">
        <f t="shared" ref="P207" si="177">O207</f>
        <v>6.2619348145296905E-2</v>
      </c>
      <c r="Q207" s="78">
        <f t="shared" ref="Q207" si="178">P207</f>
        <v>6.2619348145296905E-2</v>
      </c>
      <c r="R207" s="78">
        <f t="shared" ref="R207" si="179">Q207</f>
        <v>6.2619348145296905E-2</v>
      </c>
      <c r="S207" s="78">
        <f t="shared" ref="S207:S208" si="180">R207</f>
        <v>6.2619348145296905E-2</v>
      </c>
      <c r="T207" s="78">
        <f t="shared" ref="T207:T208" si="181">S207</f>
        <v>6.2619348145296905E-2</v>
      </c>
      <c r="U207" s="78">
        <f t="shared" ref="U207:U208" si="182">T207</f>
        <v>6.2619348145296905E-2</v>
      </c>
      <c r="V207" s="78">
        <f t="shared" ref="V207:V208" si="183">U207</f>
        <v>6.2619348145296905E-2</v>
      </c>
      <c r="W207" s="78">
        <f t="shared" ref="W207:W208" si="184">V207</f>
        <v>6.2619348145296905E-2</v>
      </c>
      <c r="X207" s="78">
        <f t="shared" ref="X207:X208" si="185">W207</f>
        <v>6.2619348145296905E-2</v>
      </c>
      <c r="Y207" s="78">
        <f t="shared" ref="Y207:Y208" si="186">X207</f>
        <v>6.2619348145296905E-2</v>
      </c>
      <c r="Z207" s="78">
        <f t="shared" ref="Z207:Z208" si="187">Y207</f>
        <v>6.2619348145296905E-2</v>
      </c>
      <c r="AA207" s="78">
        <f t="shared" ref="AA207:AA208" si="188">Z207</f>
        <v>6.2619348145296905E-2</v>
      </c>
      <c r="AB207" s="78">
        <f t="shared" ref="AB207:AB208" si="189">AA207</f>
        <v>6.2619348145296905E-2</v>
      </c>
      <c r="AC207" s="78">
        <f t="shared" ref="AC207:AC208" si="190">AB207</f>
        <v>6.2619348145296905E-2</v>
      </c>
      <c r="AD207" s="78">
        <f t="shared" ref="AD207:AD208" si="191">AC207</f>
        <v>6.2619348145296905E-2</v>
      </c>
      <c r="AE207" s="78">
        <f t="shared" ref="AE207:AE208" si="192">AD207</f>
        <v>6.2619348145296905E-2</v>
      </c>
      <c r="AF207" s="78">
        <f t="shared" ref="AF207:AF208" si="193">AE207</f>
        <v>6.2619348145296905E-2</v>
      </c>
      <c r="AG207" s="78">
        <f t="shared" ref="AG207:AG208" si="194">AF207</f>
        <v>6.2619348145296905E-2</v>
      </c>
      <c r="AH207" s="78">
        <f t="shared" ref="AH207:AH208" si="195">AG207</f>
        <v>6.2619348145296905E-2</v>
      </c>
      <c r="AI207" s="78">
        <f t="shared" ref="AI207:AI208" si="196">AH207</f>
        <v>6.2619348145296905E-2</v>
      </c>
      <c r="AJ207" s="78">
        <f t="shared" ref="AJ207:AJ208" si="197">AI207</f>
        <v>6.2619348145296905E-2</v>
      </c>
      <c r="AK207" s="78">
        <f t="shared" ref="AK207:AK208" si="198">AJ207</f>
        <v>6.2619348145296905E-2</v>
      </c>
      <c r="AL207" s="78">
        <f t="shared" ref="AL207:AL208" si="199">AK207</f>
        <v>6.2619348145296905E-2</v>
      </c>
      <c r="AM207" s="78">
        <f t="shared" ref="AM207:AM208" si="200">AL207</f>
        <v>6.2619348145296905E-2</v>
      </c>
      <c r="AN207" s="78">
        <f t="shared" ref="AN207:AN208" si="201">AM207</f>
        <v>6.2619348145296905E-2</v>
      </c>
      <c r="AO207" s="78">
        <f t="shared" ref="AO207:AO208" si="202">AN207</f>
        <v>6.2619348145296905E-2</v>
      </c>
      <c r="AP207" s="78">
        <f t="shared" ref="AP207:AP208" si="203">AO207</f>
        <v>6.2619348145296905E-2</v>
      </c>
    </row>
    <row r="208" spans="1:42" s="77" customFormat="1" x14ac:dyDescent="0.3">
      <c r="A208" s="100">
        <f t="shared" si="176"/>
        <v>23</v>
      </c>
      <c r="B208" s="76" t="s">
        <v>462</v>
      </c>
      <c r="C208" s="76" t="s">
        <v>474</v>
      </c>
      <c r="D208" s="76">
        <v>7</v>
      </c>
      <c r="E208" s="76" t="s">
        <v>343</v>
      </c>
      <c r="F208" s="76" t="s">
        <v>342</v>
      </c>
      <c r="G208" s="76" t="s">
        <v>338</v>
      </c>
      <c r="H208" s="76" t="s">
        <v>449</v>
      </c>
      <c r="I208" s="76">
        <v>0</v>
      </c>
      <c r="J208" s="102">
        <f>J207*0.98</f>
        <v>4.5635993375928816E-2</v>
      </c>
      <c r="K208" s="94">
        <f t="shared" ref="K208:Q208" si="204">K207*0.98</f>
        <v>5.5464342860315527E-2</v>
      </c>
      <c r="L208" s="78">
        <f t="shared" si="204"/>
        <v>5.3620491822380052E-2</v>
      </c>
      <c r="M208" s="78">
        <f t="shared" si="204"/>
        <v>5.5893843785789363E-2</v>
      </c>
      <c r="N208" s="78">
        <f t="shared" si="204"/>
        <v>5.6838590072173817E-2</v>
      </c>
      <c r="O208" s="78">
        <f t="shared" si="204"/>
        <v>6.1366961182390968E-2</v>
      </c>
      <c r="P208" s="78">
        <f t="shared" si="204"/>
        <v>6.1366961182390968E-2</v>
      </c>
      <c r="Q208" s="78">
        <f t="shared" si="204"/>
        <v>6.1366961182390968E-2</v>
      </c>
      <c r="R208" s="78">
        <f>Q208</f>
        <v>6.1366961182390968E-2</v>
      </c>
      <c r="S208" s="78">
        <f t="shared" si="180"/>
        <v>6.1366961182390968E-2</v>
      </c>
      <c r="T208" s="78">
        <f t="shared" si="181"/>
        <v>6.1366961182390968E-2</v>
      </c>
      <c r="U208" s="78">
        <f t="shared" si="182"/>
        <v>6.1366961182390968E-2</v>
      </c>
      <c r="V208" s="78">
        <f t="shared" si="183"/>
        <v>6.1366961182390968E-2</v>
      </c>
      <c r="W208" s="78">
        <f t="shared" si="184"/>
        <v>6.1366961182390968E-2</v>
      </c>
      <c r="X208" s="78">
        <f t="shared" si="185"/>
        <v>6.1366961182390968E-2</v>
      </c>
      <c r="Y208" s="78">
        <f t="shared" si="186"/>
        <v>6.1366961182390968E-2</v>
      </c>
      <c r="Z208" s="78">
        <f t="shared" si="187"/>
        <v>6.1366961182390968E-2</v>
      </c>
      <c r="AA208" s="78">
        <f t="shared" si="188"/>
        <v>6.1366961182390968E-2</v>
      </c>
      <c r="AB208" s="78">
        <f t="shared" si="189"/>
        <v>6.1366961182390968E-2</v>
      </c>
      <c r="AC208" s="78">
        <f t="shared" si="190"/>
        <v>6.1366961182390968E-2</v>
      </c>
      <c r="AD208" s="78">
        <f t="shared" si="191"/>
        <v>6.1366961182390968E-2</v>
      </c>
      <c r="AE208" s="78">
        <f t="shared" si="192"/>
        <v>6.1366961182390968E-2</v>
      </c>
      <c r="AF208" s="78">
        <f t="shared" si="193"/>
        <v>6.1366961182390968E-2</v>
      </c>
      <c r="AG208" s="78">
        <f t="shared" si="194"/>
        <v>6.1366961182390968E-2</v>
      </c>
      <c r="AH208" s="78">
        <f t="shared" si="195"/>
        <v>6.1366961182390968E-2</v>
      </c>
      <c r="AI208" s="78">
        <f t="shared" si="196"/>
        <v>6.1366961182390968E-2</v>
      </c>
      <c r="AJ208" s="78">
        <f t="shared" si="197"/>
        <v>6.1366961182390968E-2</v>
      </c>
      <c r="AK208" s="78">
        <f t="shared" si="198"/>
        <v>6.1366961182390968E-2</v>
      </c>
      <c r="AL208" s="78">
        <f t="shared" si="199"/>
        <v>6.1366961182390968E-2</v>
      </c>
      <c r="AM208" s="78">
        <f t="shared" si="200"/>
        <v>6.1366961182390968E-2</v>
      </c>
      <c r="AN208" s="78">
        <f t="shared" si="201"/>
        <v>6.1366961182390968E-2</v>
      </c>
      <c r="AO208" s="78">
        <f t="shared" si="202"/>
        <v>6.1366961182390968E-2</v>
      </c>
      <c r="AP208" s="78">
        <f t="shared" si="203"/>
        <v>6.1366961182390968E-2</v>
      </c>
    </row>
    <row r="209" spans="1:42" s="77" customFormat="1" x14ac:dyDescent="0.3">
      <c r="A209" s="100">
        <f t="shared" si="176"/>
        <v>23</v>
      </c>
      <c r="B209" s="76" t="s">
        <v>462</v>
      </c>
      <c r="C209" s="76" t="s">
        <v>474</v>
      </c>
      <c r="D209" s="76">
        <v>8</v>
      </c>
      <c r="E209" s="76" t="s">
        <v>344</v>
      </c>
      <c r="F209" s="76" t="s">
        <v>352</v>
      </c>
      <c r="G209" s="50" t="s">
        <v>334</v>
      </c>
      <c r="H209" s="76"/>
      <c r="I209" s="76">
        <v>0</v>
      </c>
      <c r="J209" s="101"/>
      <c r="K209" s="93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</row>
    <row r="210" spans="1:42" s="77" customFormat="1" x14ac:dyDescent="0.3">
      <c r="A210" s="100">
        <f t="shared" si="176"/>
        <v>23</v>
      </c>
      <c r="B210" s="76" t="s">
        <v>462</v>
      </c>
      <c r="C210" s="76" t="s">
        <v>474</v>
      </c>
      <c r="D210" s="76">
        <v>9</v>
      </c>
      <c r="E210" s="76" t="s">
        <v>345</v>
      </c>
      <c r="F210" s="76" t="s">
        <v>353</v>
      </c>
      <c r="G210" s="76" t="s">
        <v>338</v>
      </c>
      <c r="H210" s="76" t="s">
        <v>449</v>
      </c>
      <c r="I210" s="76">
        <v>0</v>
      </c>
      <c r="J210" s="102">
        <v>8.3338572026979169E-2</v>
      </c>
      <c r="K210" s="94">
        <v>8.5441555057751153E-2</v>
      </c>
      <c r="L210" s="78">
        <v>8.1115950545806781E-2</v>
      </c>
      <c r="M210" s="78">
        <v>8.3849118019068775E-2</v>
      </c>
      <c r="N210" s="78">
        <v>8.0866602024431244E-2</v>
      </c>
      <c r="O210" s="78">
        <v>8.1157810603362038E-2</v>
      </c>
      <c r="P210" s="78">
        <f>O210</f>
        <v>8.1157810603362038E-2</v>
      </c>
      <c r="Q210" s="78">
        <f t="shared" ref="Q210:AP210" si="205">P210</f>
        <v>8.1157810603362038E-2</v>
      </c>
      <c r="R210" s="78">
        <f t="shared" si="205"/>
        <v>8.1157810603362038E-2</v>
      </c>
      <c r="S210" s="78">
        <f t="shared" si="205"/>
        <v>8.1157810603362038E-2</v>
      </c>
      <c r="T210" s="78">
        <f t="shared" si="205"/>
        <v>8.1157810603362038E-2</v>
      </c>
      <c r="U210" s="78">
        <f t="shared" si="205"/>
        <v>8.1157810603362038E-2</v>
      </c>
      <c r="V210" s="78">
        <f t="shared" si="205"/>
        <v>8.1157810603362038E-2</v>
      </c>
      <c r="W210" s="78">
        <f t="shared" si="205"/>
        <v>8.1157810603362038E-2</v>
      </c>
      <c r="X210" s="78">
        <f t="shared" si="205"/>
        <v>8.1157810603362038E-2</v>
      </c>
      <c r="Y210" s="78">
        <f t="shared" si="205"/>
        <v>8.1157810603362038E-2</v>
      </c>
      <c r="Z210" s="78">
        <f t="shared" si="205"/>
        <v>8.1157810603362038E-2</v>
      </c>
      <c r="AA210" s="78">
        <f t="shared" si="205"/>
        <v>8.1157810603362038E-2</v>
      </c>
      <c r="AB210" s="78">
        <f t="shared" si="205"/>
        <v>8.1157810603362038E-2</v>
      </c>
      <c r="AC210" s="78">
        <f t="shared" si="205"/>
        <v>8.1157810603362038E-2</v>
      </c>
      <c r="AD210" s="78">
        <f t="shared" si="205"/>
        <v>8.1157810603362038E-2</v>
      </c>
      <c r="AE210" s="78">
        <f t="shared" si="205"/>
        <v>8.1157810603362038E-2</v>
      </c>
      <c r="AF210" s="78">
        <f t="shared" si="205"/>
        <v>8.1157810603362038E-2</v>
      </c>
      <c r="AG210" s="78">
        <f t="shared" si="205"/>
        <v>8.1157810603362038E-2</v>
      </c>
      <c r="AH210" s="78">
        <f t="shared" si="205"/>
        <v>8.1157810603362038E-2</v>
      </c>
      <c r="AI210" s="78">
        <f t="shared" si="205"/>
        <v>8.1157810603362038E-2</v>
      </c>
      <c r="AJ210" s="78">
        <f t="shared" si="205"/>
        <v>8.1157810603362038E-2</v>
      </c>
      <c r="AK210" s="78">
        <f t="shared" si="205"/>
        <v>8.1157810603362038E-2</v>
      </c>
      <c r="AL210" s="78">
        <f t="shared" si="205"/>
        <v>8.1157810603362038E-2</v>
      </c>
      <c r="AM210" s="78">
        <f t="shared" si="205"/>
        <v>8.1157810603362038E-2</v>
      </c>
      <c r="AN210" s="78">
        <f t="shared" si="205"/>
        <v>8.1157810603362038E-2</v>
      </c>
      <c r="AO210" s="78">
        <f t="shared" si="205"/>
        <v>8.1157810603362038E-2</v>
      </c>
      <c r="AP210" s="78">
        <f t="shared" si="205"/>
        <v>8.1157810603362038E-2</v>
      </c>
    </row>
    <row r="211" spans="1:42" s="77" customFormat="1" ht="15" thickBot="1" x14ac:dyDescent="0.35">
      <c r="A211" s="104">
        <f t="shared" si="176"/>
        <v>23</v>
      </c>
      <c r="B211" s="105" t="s">
        <v>462</v>
      </c>
      <c r="C211" s="105" t="s">
        <v>474</v>
      </c>
      <c r="D211" s="105">
        <v>10</v>
      </c>
      <c r="E211" s="105" t="s">
        <v>346</v>
      </c>
      <c r="F211" s="105" t="s">
        <v>353</v>
      </c>
      <c r="G211" s="105" t="s">
        <v>350</v>
      </c>
      <c r="H211" s="105"/>
      <c r="I211" s="105">
        <v>0</v>
      </c>
      <c r="J211" s="106">
        <v>1</v>
      </c>
      <c r="K211" s="93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</row>
    <row r="212" spans="1:42" s="77" customFormat="1" x14ac:dyDescent="0.3">
      <c r="A212" s="97">
        <f t="shared" ref="A212" si="206">A202+1</f>
        <v>24</v>
      </c>
      <c r="B212" s="98" t="s">
        <v>464</v>
      </c>
      <c r="C212" s="98" t="s">
        <v>475</v>
      </c>
      <c r="D212" s="98">
        <v>1</v>
      </c>
      <c r="E212" s="98" t="s">
        <v>333</v>
      </c>
      <c r="F212" s="98" t="s">
        <v>349</v>
      </c>
      <c r="G212" s="98" t="s">
        <v>338</v>
      </c>
      <c r="H212" s="98" t="s">
        <v>440</v>
      </c>
      <c r="I212" s="98">
        <v>0</v>
      </c>
      <c r="J212" s="99">
        <v>1084</v>
      </c>
      <c r="K212" s="93">
        <v>1084</v>
      </c>
      <c r="L212" s="76">
        <v>1084</v>
      </c>
      <c r="M212" s="76">
        <v>1010.741288278775</v>
      </c>
      <c r="N212" s="76">
        <v>1005.0179514255543</v>
      </c>
      <c r="O212" s="76">
        <v>991.28194297782466</v>
      </c>
      <c r="P212" s="76">
        <v>982.12460401267163</v>
      </c>
      <c r="Q212" s="76">
        <v>975.25659978880674</v>
      </c>
      <c r="R212" s="76">
        <v>967.24392819429772</v>
      </c>
      <c r="S212" s="76">
        <v>961.52059134107697</v>
      </c>
      <c r="T212" s="76">
        <v>955.79725448785632</v>
      </c>
      <c r="U212" s="76">
        <v>952.36325237592393</v>
      </c>
      <c r="V212" s="76">
        <v>946.63991552270318</v>
      </c>
      <c r="W212" s="76">
        <v>943.20591341077079</v>
      </c>
      <c r="X212" s="76">
        <v>938.62724392819428</v>
      </c>
      <c r="Y212" s="76">
        <v>935.19324181626178</v>
      </c>
      <c r="Z212" s="76">
        <v>930.61457233368526</v>
      </c>
      <c r="AA212" s="76">
        <v>927.18057022175276</v>
      </c>
      <c r="AB212" s="76">
        <v>922.60190073917624</v>
      </c>
      <c r="AC212" s="76">
        <v>919.16789862724386</v>
      </c>
      <c r="AD212" s="76">
        <v>914.58922914466734</v>
      </c>
      <c r="AE212" s="76">
        <v>911.15522703273484</v>
      </c>
      <c r="AF212" s="76">
        <v>907.72122492080234</v>
      </c>
      <c r="AG212" s="76">
        <v>903.14255543822594</v>
      </c>
      <c r="AH212" s="76">
        <v>899.70855332629344</v>
      </c>
      <c r="AI212" s="76">
        <v>895.12988384371681</v>
      </c>
      <c r="AJ212" s="76">
        <v>891.69588173178454</v>
      </c>
      <c r="AK212" s="76">
        <v>887.11721224920802</v>
      </c>
      <c r="AL212" s="76">
        <v>883.68321013727564</v>
      </c>
      <c r="AM212" s="76">
        <v>879.10454065469901</v>
      </c>
      <c r="AN212" s="76">
        <v>876.81520591341064</v>
      </c>
      <c r="AO212" s="76">
        <v>874.52587117212238</v>
      </c>
      <c r="AP212" s="76">
        <v>874.52587117212238</v>
      </c>
    </row>
    <row r="213" spans="1:42" s="77" customFormat="1" x14ac:dyDescent="0.3">
      <c r="A213" s="100">
        <f t="shared" ref="A213" si="207">A212</f>
        <v>24</v>
      </c>
      <c r="B213" s="76" t="s">
        <v>464</v>
      </c>
      <c r="C213" s="76" t="s">
        <v>475</v>
      </c>
      <c r="D213" s="76">
        <v>2</v>
      </c>
      <c r="E213" s="76" t="s">
        <v>335</v>
      </c>
      <c r="F213" s="76" t="s">
        <v>349</v>
      </c>
      <c r="G213" s="76" t="s">
        <v>350</v>
      </c>
      <c r="H213" s="76" t="s">
        <v>440</v>
      </c>
      <c r="I213" s="76">
        <v>0</v>
      </c>
      <c r="J213" s="101">
        <v>14.1</v>
      </c>
      <c r="K213" s="93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</row>
    <row r="214" spans="1:42" s="77" customFormat="1" x14ac:dyDescent="0.3">
      <c r="A214" s="100">
        <f t="shared" si="176"/>
        <v>24</v>
      </c>
      <c r="B214" s="76" t="s">
        <v>464</v>
      </c>
      <c r="C214" s="76" t="s">
        <v>475</v>
      </c>
      <c r="D214" s="76">
        <v>3</v>
      </c>
      <c r="E214" s="76" t="s">
        <v>336</v>
      </c>
      <c r="F214" s="76" t="s">
        <v>337</v>
      </c>
      <c r="G214" s="76" t="s">
        <v>338</v>
      </c>
      <c r="H214" s="76" t="s">
        <v>440</v>
      </c>
      <c r="I214" s="76">
        <v>0</v>
      </c>
      <c r="J214" s="101">
        <v>0.37533401180208015</v>
      </c>
      <c r="K214" s="93">
        <v>0.35273374559244275</v>
      </c>
      <c r="L214" s="76">
        <v>0.28613070419299563</v>
      </c>
      <c r="M214" s="76">
        <v>0.39800386712449315</v>
      </c>
      <c r="N214" s="76">
        <v>0.46330255865948261</v>
      </c>
      <c r="O214" s="76">
        <v>0.37510097747429882</v>
      </c>
      <c r="P214" s="76">
        <v>0.37510097747429882</v>
      </c>
      <c r="Q214" s="76">
        <v>0.37510097747429882</v>
      </c>
      <c r="R214" s="76">
        <v>0.37510097747429882</v>
      </c>
      <c r="S214" s="76">
        <v>0.37510097747429882</v>
      </c>
      <c r="T214" s="76">
        <v>0.37510097747429882</v>
      </c>
      <c r="U214" s="76">
        <v>0.37510097747429882</v>
      </c>
      <c r="V214" s="76">
        <v>0.37510097747429882</v>
      </c>
      <c r="W214" s="76">
        <v>0.37510097747429882</v>
      </c>
      <c r="X214" s="76">
        <v>0.37510097747429882</v>
      </c>
      <c r="Y214" s="76">
        <v>0.37510097747429882</v>
      </c>
      <c r="Z214" s="76">
        <v>0.37510097747429882</v>
      </c>
      <c r="AA214" s="76">
        <v>0.37510097747429882</v>
      </c>
      <c r="AB214" s="76">
        <v>0.37510097747429882</v>
      </c>
      <c r="AC214" s="76">
        <v>0.37510097747429882</v>
      </c>
      <c r="AD214" s="76">
        <v>0.37510097747429882</v>
      </c>
      <c r="AE214" s="76">
        <v>0.37510097747429882</v>
      </c>
      <c r="AF214" s="76">
        <v>0.37510097747429882</v>
      </c>
      <c r="AG214" s="76">
        <v>0.37510097747429882</v>
      </c>
      <c r="AH214" s="76">
        <v>0.37510097747429882</v>
      </c>
      <c r="AI214" s="76">
        <v>0.37510097747429882</v>
      </c>
      <c r="AJ214" s="76">
        <v>0.37510097747429882</v>
      </c>
      <c r="AK214" s="76">
        <v>0.37510097747429882</v>
      </c>
      <c r="AL214" s="76">
        <v>0.37510097747429882</v>
      </c>
      <c r="AM214" s="76">
        <v>0.37510097747429882</v>
      </c>
      <c r="AN214" s="76">
        <v>0.37510097747429882</v>
      </c>
      <c r="AO214" s="76">
        <v>0.37510097747429882</v>
      </c>
      <c r="AP214" s="76">
        <v>0.37510097747429882</v>
      </c>
    </row>
    <row r="215" spans="1:42" s="77" customFormat="1" x14ac:dyDescent="0.3">
      <c r="A215" s="100">
        <f t="shared" si="176"/>
        <v>24</v>
      </c>
      <c r="B215" s="76" t="s">
        <v>464</v>
      </c>
      <c r="C215" s="76" t="s">
        <v>475</v>
      </c>
      <c r="D215" s="76">
        <v>4</v>
      </c>
      <c r="E215" s="76" t="s">
        <v>339</v>
      </c>
      <c r="F215" s="76" t="s">
        <v>352</v>
      </c>
      <c r="G215" s="76" t="s">
        <v>350</v>
      </c>
      <c r="H215" s="76" t="s">
        <v>449</v>
      </c>
      <c r="I215" s="76">
        <v>0</v>
      </c>
      <c r="J215" s="109">
        <v>1.0852371278205061E-3</v>
      </c>
      <c r="K215" s="93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</row>
    <row r="216" spans="1:42" s="77" customFormat="1" x14ac:dyDescent="0.3">
      <c r="A216" s="100">
        <f t="shared" si="176"/>
        <v>24</v>
      </c>
      <c r="B216" s="76" t="s">
        <v>464</v>
      </c>
      <c r="C216" s="76" t="s">
        <v>475</v>
      </c>
      <c r="D216" s="76">
        <v>5</v>
      </c>
      <c r="E216" s="76" t="s">
        <v>340</v>
      </c>
      <c r="F216" s="76" t="s">
        <v>352</v>
      </c>
      <c r="G216" s="50" t="s">
        <v>334</v>
      </c>
      <c r="H216" s="76" t="s">
        <v>449</v>
      </c>
      <c r="I216" s="76">
        <v>0</v>
      </c>
      <c r="J216" s="109"/>
      <c r="K216" s="107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 spans="1:42" s="77" customFormat="1" x14ac:dyDescent="0.3">
      <c r="A217" s="100">
        <f t="shared" si="176"/>
        <v>24</v>
      </c>
      <c r="B217" s="76" t="s">
        <v>464</v>
      </c>
      <c r="C217" s="76" t="s">
        <v>475</v>
      </c>
      <c r="D217" s="76">
        <v>6</v>
      </c>
      <c r="E217" s="76" t="s">
        <v>341</v>
      </c>
      <c r="F217" s="76"/>
      <c r="G217" s="81" t="s">
        <v>338</v>
      </c>
      <c r="H217" s="76"/>
      <c r="I217" s="76">
        <v>0</v>
      </c>
      <c r="J217" s="109">
        <v>2.8521824611630248E-3</v>
      </c>
      <c r="K217" s="107">
        <v>2.9165871116508058E-3</v>
      </c>
      <c r="L217" s="79">
        <v>2.4375921423304392E-3</v>
      </c>
      <c r="M217" s="79">
        <v>2.7974524701859572E-3</v>
      </c>
      <c r="N217" s="79">
        <v>2.9860703263448612E-3</v>
      </c>
      <c r="O217" s="79">
        <v>3.0230883649150324E-3</v>
      </c>
      <c r="P217" s="79">
        <f t="shared" ref="P217" si="208">O217</f>
        <v>3.0230883649150324E-3</v>
      </c>
      <c r="Q217" s="79">
        <f t="shared" ref="Q217:Q218" si="209">P217</f>
        <v>3.0230883649150324E-3</v>
      </c>
      <c r="R217" s="79">
        <f t="shared" ref="R217:R218" si="210">Q217</f>
        <v>3.0230883649150324E-3</v>
      </c>
      <c r="S217" s="79">
        <f t="shared" ref="S217:S218" si="211">R217</f>
        <v>3.0230883649150324E-3</v>
      </c>
      <c r="T217" s="79">
        <f t="shared" ref="T217:T218" si="212">S217</f>
        <v>3.0230883649150324E-3</v>
      </c>
      <c r="U217" s="79">
        <f t="shared" ref="U217:U218" si="213">T217</f>
        <v>3.0230883649150324E-3</v>
      </c>
      <c r="V217" s="79">
        <f t="shared" ref="V217:V218" si="214">U217</f>
        <v>3.0230883649150324E-3</v>
      </c>
      <c r="W217" s="79">
        <f t="shared" ref="W217:W218" si="215">V217</f>
        <v>3.0230883649150324E-3</v>
      </c>
      <c r="X217" s="79">
        <f t="shared" ref="X217:X218" si="216">W217</f>
        <v>3.0230883649150324E-3</v>
      </c>
      <c r="Y217" s="79">
        <f t="shared" ref="Y217:Y218" si="217">X217</f>
        <v>3.0230883649150324E-3</v>
      </c>
      <c r="Z217" s="79">
        <f t="shared" ref="Z217:Z218" si="218">Y217</f>
        <v>3.0230883649150324E-3</v>
      </c>
      <c r="AA217" s="79">
        <f t="shared" ref="AA217:AA218" si="219">Z217</f>
        <v>3.0230883649150324E-3</v>
      </c>
      <c r="AB217" s="79">
        <f t="shared" ref="AB217:AB218" si="220">AA217</f>
        <v>3.0230883649150324E-3</v>
      </c>
      <c r="AC217" s="79">
        <f t="shared" ref="AC217:AC218" si="221">AB217</f>
        <v>3.0230883649150324E-3</v>
      </c>
      <c r="AD217" s="79">
        <f t="shared" ref="AD217:AD218" si="222">AC217</f>
        <v>3.0230883649150324E-3</v>
      </c>
      <c r="AE217" s="79">
        <f t="shared" ref="AE217:AE218" si="223">AD217</f>
        <v>3.0230883649150324E-3</v>
      </c>
      <c r="AF217" s="79">
        <f t="shared" ref="AF217:AF218" si="224">AE217</f>
        <v>3.0230883649150324E-3</v>
      </c>
      <c r="AG217" s="79">
        <f t="shared" ref="AG217:AG218" si="225">AF217</f>
        <v>3.0230883649150324E-3</v>
      </c>
      <c r="AH217" s="79">
        <f t="shared" ref="AH217:AH218" si="226">AG217</f>
        <v>3.0230883649150324E-3</v>
      </c>
      <c r="AI217" s="79">
        <f t="shared" ref="AI217:AI218" si="227">AH217</f>
        <v>3.0230883649150324E-3</v>
      </c>
      <c r="AJ217" s="79">
        <f t="shared" ref="AJ217:AJ218" si="228">AI217</f>
        <v>3.0230883649150324E-3</v>
      </c>
      <c r="AK217" s="79">
        <f t="shared" ref="AK217:AK218" si="229">AJ217</f>
        <v>3.0230883649150324E-3</v>
      </c>
      <c r="AL217" s="79">
        <f t="shared" ref="AL217:AL218" si="230">AK217</f>
        <v>3.0230883649150324E-3</v>
      </c>
      <c r="AM217" s="79">
        <f t="shared" ref="AM217:AM218" si="231">AL217</f>
        <v>3.0230883649150324E-3</v>
      </c>
      <c r="AN217" s="79">
        <f t="shared" ref="AN217:AN218" si="232">AM217</f>
        <v>3.0230883649150324E-3</v>
      </c>
      <c r="AO217" s="79">
        <f t="shared" ref="AO217:AO218" si="233">AN217</f>
        <v>3.0230883649150324E-3</v>
      </c>
      <c r="AP217" s="79">
        <f t="shared" ref="AP217:AP218" si="234">AO217</f>
        <v>3.0230883649150324E-3</v>
      </c>
    </row>
    <row r="218" spans="1:42" s="77" customFormat="1" x14ac:dyDescent="0.3">
      <c r="A218" s="100">
        <f t="shared" si="176"/>
        <v>24</v>
      </c>
      <c r="B218" s="76" t="s">
        <v>464</v>
      </c>
      <c r="C218" s="76" t="s">
        <v>475</v>
      </c>
      <c r="D218" s="76">
        <v>7</v>
      </c>
      <c r="E218" s="76" t="s">
        <v>343</v>
      </c>
      <c r="F218" s="76" t="s">
        <v>342</v>
      </c>
      <c r="G218" s="81" t="s">
        <v>338</v>
      </c>
      <c r="H218" s="76" t="s">
        <v>449</v>
      </c>
      <c r="I218" s="76">
        <v>0</v>
      </c>
      <c r="J218" s="102">
        <f>J217*0.98</f>
        <v>2.7951388119397645E-3</v>
      </c>
      <c r="K218" s="94">
        <f t="shared" ref="K218:O218" si="235">K217*0.98</f>
        <v>2.8582553694177894E-3</v>
      </c>
      <c r="L218" s="78">
        <f t="shared" si="235"/>
        <v>2.3888402994838302E-3</v>
      </c>
      <c r="M218" s="78">
        <f t="shared" si="235"/>
        <v>2.7415034207822382E-3</v>
      </c>
      <c r="N218" s="78">
        <f t="shared" si="235"/>
        <v>2.926348919817964E-3</v>
      </c>
      <c r="O218" s="78">
        <f t="shared" si="235"/>
        <v>2.9626265976167316E-3</v>
      </c>
      <c r="P218" s="78">
        <f>O218</f>
        <v>2.9626265976167316E-3</v>
      </c>
      <c r="Q218" s="78">
        <f t="shared" si="209"/>
        <v>2.9626265976167316E-3</v>
      </c>
      <c r="R218" s="78">
        <f t="shared" si="210"/>
        <v>2.9626265976167316E-3</v>
      </c>
      <c r="S218" s="78">
        <f t="shared" si="211"/>
        <v>2.9626265976167316E-3</v>
      </c>
      <c r="T218" s="78">
        <f t="shared" si="212"/>
        <v>2.9626265976167316E-3</v>
      </c>
      <c r="U218" s="78">
        <f t="shared" si="213"/>
        <v>2.9626265976167316E-3</v>
      </c>
      <c r="V218" s="78">
        <f t="shared" si="214"/>
        <v>2.9626265976167316E-3</v>
      </c>
      <c r="W218" s="78">
        <f t="shared" si="215"/>
        <v>2.9626265976167316E-3</v>
      </c>
      <c r="X218" s="78">
        <f t="shared" si="216"/>
        <v>2.9626265976167316E-3</v>
      </c>
      <c r="Y218" s="78">
        <f t="shared" si="217"/>
        <v>2.9626265976167316E-3</v>
      </c>
      <c r="Z218" s="78">
        <f t="shared" si="218"/>
        <v>2.9626265976167316E-3</v>
      </c>
      <c r="AA218" s="78">
        <f t="shared" si="219"/>
        <v>2.9626265976167316E-3</v>
      </c>
      <c r="AB218" s="78">
        <f t="shared" si="220"/>
        <v>2.9626265976167316E-3</v>
      </c>
      <c r="AC218" s="78">
        <f t="shared" si="221"/>
        <v>2.9626265976167316E-3</v>
      </c>
      <c r="AD218" s="78">
        <f t="shared" si="222"/>
        <v>2.9626265976167316E-3</v>
      </c>
      <c r="AE218" s="78">
        <f t="shared" si="223"/>
        <v>2.9626265976167316E-3</v>
      </c>
      <c r="AF218" s="78">
        <f t="shared" si="224"/>
        <v>2.9626265976167316E-3</v>
      </c>
      <c r="AG218" s="78">
        <f t="shared" si="225"/>
        <v>2.9626265976167316E-3</v>
      </c>
      <c r="AH218" s="78">
        <f t="shared" si="226"/>
        <v>2.9626265976167316E-3</v>
      </c>
      <c r="AI218" s="78">
        <f t="shared" si="227"/>
        <v>2.9626265976167316E-3</v>
      </c>
      <c r="AJ218" s="78">
        <f t="shared" si="228"/>
        <v>2.9626265976167316E-3</v>
      </c>
      <c r="AK218" s="78">
        <f t="shared" si="229"/>
        <v>2.9626265976167316E-3</v>
      </c>
      <c r="AL218" s="78">
        <f t="shared" si="230"/>
        <v>2.9626265976167316E-3</v>
      </c>
      <c r="AM218" s="78">
        <f t="shared" si="231"/>
        <v>2.9626265976167316E-3</v>
      </c>
      <c r="AN218" s="78">
        <f t="shared" si="232"/>
        <v>2.9626265976167316E-3</v>
      </c>
      <c r="AO218" s="78">
        <f t="shared" si="233"/>
        <v>2.9626265976167316E-3</v>
      </c>
      <c r="AP218" s="78">
        <f t="shared" si="234"/>
        <v>2.9626265976167316E-3</v>
      </c>
    </row>
    <row r="219" spans="1:42" s="77" customFormat="1" x14ac:dyDescent="0.3">
      <c r="A219" s="100">
        <f t="shared" si="176"/>
        <v>24</v>
      </c>
      <c r="B219" s="76" t="s">
        <v>464</v>
      </c>
      <c r="C219" s="76" t="s">
        <v>475</v>
      </c>
      <c r="D219" s="76">
        <v>8</v>
      </c>
      <c r="E219" s="76" t="s">
        <v>344</v>
      </c>
      <c r="F219" s="76" t="s">
        <v>352</v>
      </c>
      <c r="G219" s="76" t="s">
        <v>334</v>
      </c>
      <c r="H219" s="76"/>
      <c r="I219" s="76">
        <v>0</v>
      </c>
      <c r="J219" s="101"/>
      <c r="K219" s="93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</row>
    <row r="220" spans="1:42" s="77" customFormat="1" x14ac:dyDescent="0.3">
      <c r="A220" s="100">
        <f t="shared" si="176"/>
        <v>24</v>
      </c>
      <c r="B220" s="76" t="s">
        <v>464</v>
      </c>
      <c r="C220" s="76" t="s">
        <v>475</v>
      </c>
      <c r="D220" s="76">
        <v>9</v>
      </c>
      <c r="E220" s="76" t="s">
        <v>345</v>
      </c>
      <c r="F220" s="76" t="s">
        <v>353</v>
      </c>
      <c r="G220" s="76" t="s">
        <v>338</v>
      </c>
      <c r="H220" s="76" t="s">
        <v>449</v>
      </c>
      <c r="I220" s="76">
        <v>0</v>
      </c>
      <c r="J220" s="102">
        <v>8.3338572026979169E-2</v>
      </c>
      <c r="K220" s="94">
        <v>8.5441555057751153E-2</v>
      </c>
      <c r="L220" s="78">
        <v>8.1115950545806781E-2</v>
      </c>
      <c r="M220" s="78">
        <v>8.3849118019068775E-2</v>
      </c>
      <c r="N220" s="78">
        <v>8.0866602024431244E-2</v>
      </c>
      <c r="O220" s="78">
        <v>8.1157810603362038E-2</v>
      </c>
      <c r="P220" s="78">
        <f>O220</f>
        <v>8.1157810603362038E-2</v>
      </c>
      <c r="Q220" s="78">
        <f t="shared" ref="Q220:AP220" si="236">P220</f>
        <v>8.1157810603362038E-2</v>
      </c>
      <c r="R220" s="78">
        <f t="shared" si="236"/>
        <v>8.1157810603362038E-2</v>
      </c>
      <c r="S220" s="78">
        <f t="shared" si="236"/>
        <v>8.1157810603362038E-2</v>
      </c>
      <c r="T220" s="78">
        <f t="shared" si="236"/>
        <v>8.1157810603362038E-2</v>
      </c>
      <c r="U220" s="78">
        <f t="shared" si="236"/>
        <v>8.1157810603362038E-2</v>
      </c>
      <c r="V220" s="78">
        <f t="shared" si="236"/>
        <v>8.1157810603362038E-2</v>
      </c>
      <c r="W220" s="78">
        <f t="shared" si="236"/>
        <v>8.1157810603362038E-2</v>
      </c>
      <c r="X220" s="78">
        <f t="shared" si="236"/>
        <v>8.1157810603362038E-2</v>
      </c>
      <c r="Y220" s="78">
        <f t="shared" si="236"/>
        <v>8.1157810603362038E-2</v>
      </c>
      <c r="Z220" s="78">
        <f t="shared" si="236"/>
        <v>8.1157810603362038E-2</v>
      </c>
      <c r="AA220" s="78">
        <f t="shared" si="236"/>
        <v>8.1157810603362038E-2</v>
      </c>
      <c r="AB220" s="78">
        <f t="shared" si="236"/>
        <v>8.1157810603362038E-2</v>
      </c>
      <c r="AC220" s="78">
        <f t="shared" si="236"/>
        <v>8.1157810603362038E-2</v>
      </c>
      <c r="AD220" s="78">
        <f t="shared" si="236"/>
        <v>8.1157810603362038E-2</v>
      </c>
      <c r="AE220" s="78">
        <f t="shared" si="236"/>
        <v>8.1157810603362038E-2</v>
      </c>
      <c r="AF220" s="78">
        <f t="shared" si="236"/>
        <v>8.1157810603362038E-2</v>
      </c>
      <c r="AG220" s="78">
        <f t="shared" si="236"/>
        <v>8.1157810603362038E-2</v>
      </c>
      <c r="AH220" s="78">
        <f t="shared" si="236"/>
        <v>8.1157810603362038E-2</v>
      </c>
      <c r="AI220" s="78">
        <f t="shared" si="236"/>
        <v>8.1157810603362038E-2</v>
      </c>
      <c r="AJ220" s="78">
        <f t="shared" si="236"/>
        <v>8.1157810603362038E-2</v>
      </c>
      <c r="AK220" s="78">
        <f t="shared" si="236"/>
        <v>8.1157810603362038E-2</v>
      </c>
      <c r="AL220" s="78">
        <f t="shared" si="236"/>
        <v>8.1157810603362038E-2</v>
      </c>
      <c r="AM220" s="78">
        <f t="shared" si="236"/>
        <v>8.1157810603362038E-2</v>
      </c>
      <c r="AN220" s="78">
        <f t="shared" si="236"/>
        <v>8.1157810603362038E-2</v>
      </c>
      <c r="AO220" s="78">
        <f t="shared" si="236"/>
        <v>8.1157810603362038E-2</v>
      </c>
      <c r="AP220" s="78">
        <f t="shared" si="236"/>
        <v>8.1157810603362038E-2</v>
      </c>
    </row>
    <row r="221" spans="1:42" s="77" customFormat="1" ht="15" thickBot="1" x14ac:dyDescent="0.35">
      <c r="A221" s="104">
        <f t="shared" si="176"/>
        <v>24</v>
      </c>
      <c r="B221" s="105" t="s">
        <v>464</v>
      </c>
      <c r="C221" s="105" t="s">
        <v>475</v>
      </c>
      <c r="D221" s="105">
        <v>10</v>
      </c>
      <c r="E221" s="105" t="s">
        <v>346</v>
      </c>
      <c r="F221" s="105" t="s">
        <v>353</v>
      </c>
      <c r="G221" s="105" t="s">
        <v>350</v>
      </c>
      <c r="H221" s="105"/>
      <c r="I221" s="105">
        <v>0</v>
      </c>
      <c r="J221" s="106">
        <v>1</v>
      </c>
      <c r="K221" s="93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</row>
    <row r="222" spans="1:42" s="77" customFormat="1" x14ac:dyDescent="0.3">
      <c r="A222" s="97">
        <f t="shared" ref="A222" si="237">A212+1</f>
        <v>25</v>
      </c>
      <c r="B222" s="98" t="s">
        <v>468</v>
      </c>
      <c r="C222" s="98" t="s">
        <v>476</v>
      </c>
      <c r="D222" s="98">
        <v>1</v>
      </c>
      <c r="E222" s="98" t="s">
        <v>333</v>
      </c>
      <c r="F222" s="98" t="s">
        <v>349</v>
      </c>
      <c r="G222" s="98" t="s">
        <v>338</v>
      </c>
      <c r="H222" s="98" t="s">
        <v>440</v>
      </c>
      <c r="I222" s="98">
        <v>0</v>
      </c>
      <c r="J222" s="99">
        <v>1084</v>
      </c>
      <c r="K222" s="93">
        <v>1084</v>
      </c>
      <c r="L222" s="76">
        <v>1084</v>
      </c>
      <c r="M222" s="76">
        <v>1010.741288278775</v>
      </c>
      <c r="N222" s="76">
        <v>1005.0179514255543</v>
      </c>
      <c r="O222" s="76">
        <v>991.28194297782466</v>
      </c>
      <c r="P222" s="76">
        <v>982.12460401267163</v>
      </c>
      <c r="Q222" s="76">
        <v>975.25659978880674</v>
      </c>
      <c r="R222" s="76">
        <v>967.24392819429772</v>
      </c>
      <c r="S222" s="76">
        <v>961.52059134107697</v>
      </c>
      <c r="T222" s="76">
        <v>955.79725448785632</v>
      </c>
      <c r="U222" s="76">
        <v>952.36325237592393</v>
      </c>
      <c r="V222" s="76">
        <v>946.63991552270318</v>
      </c>
      <c r="W222" s="76">
        <v>943.20591341077079</v>
      </c>
      <c r="X222" s="76">
        <v>938.62724392819428</v>
      </c>
      <c r="Y222" s="76">
        <v>935.19324181626178</v>
      </c>
      <c r="Z222" s="76">
        <v>930.61457233368526</v>
      </c>
      <c r="AA222" s="76">
        <v>927.18057022175276</v>
      </c>
      <c r="AB222" s="76">
        <v>922.60190073917624</v>
      </c>
      <c r="AC222" s="76">
        <v>919.16789862724386</v>
      </c>
      <c r="AD222" s="76">
        <v>914.58922914466734</v>
      </c>
      <c r="AE222" s="76">
        <v>911.15522703273484</v>
      </c>
      <c r="AF222" s="76">
        <v>907.72122492080234</v>
      </c>
      <c r="AG222" s="76">
        <v>903.14255543822594</v>
      </c>
      <c r="AH222" s="76">
        <v>899.70855332629344</v>
      </c>
      <c r="AI222" s="76">
        <v>895.12988384371681</v>
      </c>
      <c r="AJ222" s="76">
        <v>891.69588173178454</v>
      </c>
      <c r="AK222" s="76">
        <v>887.11721224920802</v>
      </c>
      <c r="AL222" s="76">
        <v>883.68321013727564</v>
      </c>
      <c r="AM222" s="76">
        <v>879.10454065469901</v>
      </c>
      <c r="AN222" s="76">
        <v>876.81520591341064</v>
      </c>
      <c r="AO222" s="76">
        <v>874.52587117212238</v>
      </c>
      <c r="AP222" s="76">
        <v>874.52587117212238</v>
      </c>
    </row>
    <row r="223" spans="1:42" s="77" customFormat="1" x14ac:dyDescent="0.3">
      <c r="A223" s="100">
        <f t="shared" ref="A223:A231" si="238">A222</f>
        <v>25</v>
      </c>
      <c r="B223" s="76" t="s">
        <v>468</v>
      </c>
      <c r="C223" s="76" t="s">
        <v>476</v>
      </c>
      <c r="D223" s="76">
        <v>2</v>
      </c>
      <c r="E223" s="76" t="s">
        <v>335</v>
      </c>
      <c r="F223" s="76" t="s">
        <v>349</v>
      </c>
      <c r="G223" s="76" t="s">
        <v>350</v>
      </c>
      <c r="H223" s="76" t="s">
        <v>440</v>
      </c>
      <c r="I223" s="76">
        <v>0</v>
      </c>
      <c r="J223" s="101">
        <v>14.1</v>
      </c>
      <c r="K223" s="93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</row>
    <row r="224" spans="1:42" s="77" customFormat="1" x14ac:dyDescent="0.3">
      <c r="A224" s="100">
        <f t="shared" si="238"/>
        <v>25</v>
      </c>
      <c r="B224" s="76" t="s">
        <v>468</v>
      </c>
      <c r="C224" s="76" t="s">
        <v>476</v>
      </c>
      <c r="D224" s="76">
        <v>3</v>
      </c>
      <c r="E224" s="76" t="s">
        <v>336</v>
      </c>
      <c r="F224" s="76" t="s">
        <v>337</v>
      </c>
      <c r="G224" s="76" t="s">
        <v>338</v>
      </c>
      <c r="H224" s="76" t="s">
        <v>440</v>
      </c>
      <c r="I224" s="76">
        <v>0</v>
      </c>
      <c r="J224" s="101">
        <v>0.37533401180208015</v>
      </c>
      <c r="K224" s="93">
        <v>0.35273374559244275</v>
      </c>
      <c r="L224" s="76">
        <v>0.28613070419299563</v>
      </c>
      <c r="M224" s="76">
        <v>0.39800386712449315</v>
      </c>
      <c r="N224" s="76">
        <v>0.46330255865948261</v>
      </c>
      <c r="O224" s="76">
        <v>0.37510097747429882</v>
      </c>
      <c r="P224" s="76">
        <v>0.37510097747429882</v>
      </c>
      <c r="Q224" s="76">
        <v>0.37510097747429882</v>
      </c>
      <c r="R224" s="76">
        <v>0.37510097747429882</v>
      </c>
      <c r="S224" s="76">
        <v>0.37510097747429882</v>
      </c>
      <c r="T224" s="76">
        <v>0.37510097747429882</v>
      </c>
      <c r="U224" s="76">
        <v>0.37510097747429882</v>
      </c>
      <c r="V224" s="76">
        <v>0.37510097747429882</v>
      </c>
      <c r="W224" s="76">
        <v>0.37510097747429882</v>
      </c>
      <c r="X224" s="76">
        <v>0.37510097747429882</v>
      </c>
      <c r="Y224" s="76">
        <v>0.37510097747429882</v>
      </c>
      <c r="Z224" s="76">
        <v>0.37510097747429882</v>
      </c>
      <c r="AA224" s="76">
        <v>0.37510097747429882</v>
      </c>
      <c r="AB224" s="76">
        <v>0.37510097747429882</v>
      </c>
      <c r="AC224" s="76">
        <v>0.37510097747429882</v>
      </c>
      <c r="AD224" s="76">
        <v>0.37510097747429882</v>
      </c>
      <c r="AE224" s="76">
        <v>0.37510097747429882</v>
      </c>
      <c r="AF224" s="76">
        <v>0.37510097747429882</v>
      </c>
      <c r="AG224" s="76">
        <v>0.37510097747429882</v>
      </c>
      <c r="AH224" s="76">
        <v>0.37510097747429882</v>
      </c>
      <c r="AI224" s="76">
        <v>0.37510097747429882</v>
      </c>
      <c r="AJ224" s="76">
        <v>0.37510097747429882</v>
      </c>
      <c r="AK224" s="76">
        <v>0.37510097747429882</v>
      </c>
      <c r="AL224" s="76">
        <v>0.37510097747429882</v>
      </c>
      <c r="AM224" s="76">
        <v>0.37510097747429882</v>
      </c>
      <c r="AN224" s="76">
        <v>0.37510097747429882</v>
      </c>
      <c r="AO224" s="76">
        <v>0.37510097747429882</v>
      </c>
      <c r="AP224" s="76">
        <v>0.37510097747429882</v>
      </c>
    </row>
    <row r="225" spans="1:42" s="77" customFormat="1" x14ac:dyDescent="0.3">
      <c r="A225" s="100">
        <f t="shared" si="238"/>
        <v>25</v>
      </c>
      <c r="B225" s="76" t="s">
        <v>468</v>
      </c>
      <c r="C225" s="76" t="s">
        <v>476</v>
      </c>
      <c r="D225" s="76">
        <v>4</v>
      </c>
      <c r="E225" s="76" t="s">
        <v>339</v>
      </c>
      <c r="F225" s="76" t="s">
        <v>352</v>
      </c>
      <c r="G225" s="76" t="s">
        <v>350</v>
      </c>
      <c r="H225" s="76" t="s">
        <v>449</v>
      </c>
      <c r="I225" s="76">
        <v>0</v>
      </c>
      <c r="J225" s="109">
        <v>9.6190724280347424E-3</v>
      </c>
      <c r="K225" s="93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</row>
    <row r="226" spans="1:42" s="77" customFormat="1" x14ac:dyDescent="0.3">
      <c r="A226" s="100">
        <f t="shared" si="238"/>
        <v>25</v>
      </c>
      <c r="B226" s="76" t="s">
        <v>468</v>
      </c>
      <c r="C226" s="76" t="s">
        <v>476</v>
      </c>
      <c r="D226" s="76">
        <v>5</v>
      </c>
      <c r="E226" s="76" t="s">
        <v>340</v>
      </c>
      <c r="F226" s="76" t="s">
        <v>352</v>
      </c>
      <c r="G226" s="50" t="s">
        <v>334</v>
      </c>
      <c r="H226" s="76" t="s">
        <v>449</v>
      </c>
      <c r="I226" s="76">
        <v>0</v>
      </c>
      <c r="J226" s="109"/>
      <c r="K226" s="107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 spans="1:42" s="77" customFormat="1" x14ac:dyDescent="0.3">
      <c r="A227" s="100">
        <f t="shared" si="238"/>
        <v>25</v>
      </c>
      <c r="B227" s="76" t="s">
        <v>468</v>
      </c>
      <c r="C227" s="76" t="s">
        <v>476</v>
      </c>
      <c r="D227" s="76">
        <v>6</v>
      </c>
      <c r="E227" s="76" t="s">
        <v>341</v>
      </c>
      <c r="F227" s="76"/>
      <c r="G227" s="81" t="s">
        <v>338</v>
      </c>
      <c r="H227" s="76"/>
      <c r="I227" s="76">
        <v>0</v>
      </c>
      <c r="J227" s="109">
        <v>0.23280848616123928</v>
      </c>
      <c r="K227" s="107">
        <v>0.24871461898433178</v>
      </c>
      <c r="L227" s="79">
        <v>0.21692833609534928</v>
      </c>
      <c r="M227" s="79">
        <v>0.23387931651544908</v>
      </c>
      <c r="N227" s="79">
        <v>0.25300890124603831</v>
      </c>
      <c r="O227" s="79">
        <v>0.25823406461668802</v>
      </c>
      <c r="P227" s="79">
        <f t="shared" ref="P227" si="239">O227</f>
        <v>0.25823406461668802</v>
      </c>
      <c r="Q227" s="79">
        <f t="shared" ref="Q227:Q228" si="240">P227</f>
        <v>0.25823406461668802</v>
      </c>
      <c r="R227" s="79">
        <f t="shared" ref="R227:R228" si="241">Q227</f>
        <v>0.25823406461668802</v>
      </c>
      <c r="S227" s="79">
        <f t="shared" ref="S227:S228" si="242">R227</f>
        <v>0.25823406461668802</v>
      </c>
      <c r="T227" s="79">
        <f t="shared" ref="T227:T228" si="243">S227</f>
        <v>0.25823406461668802</v>
      </c>
      <c r="U227" s="79">
        <f t="shared" ref="U227:U228" si="244">T227</f>
        <v>0.25823406461668802</v>
      </c>
      <c r="V227" s="79">
        <f t="shared" ref="V227:V228" si="245">U227</f>
        <v>0.25823406461668802</v>
      </c>
      <c r="W227" s="79">
        <f t="shared" ref="W227:W228" si="246">V227</f>
        <v>0.25823406461668802</v>
      </c>
      <c r="X227" s="79">
        <f t="shared" ref="X227:X228" si="247">W227</f>
        <v>0.25823406461668802</v>
      </c>
      <c r="Y227" s="79">
        <f t="shared" ref="Y227:Y228" si="248">X227</f>
        <v>0.25823406461668802</v>
      </c>
      <c r="Z227" s="79">
        <f t="shared" ref="Z227:Z228" si="249">Y227</f>
        <v>0.25823406461668802</v>
      </c>
      <c r="AA227" s="79">
        <f t="shared" ref="AA227:AA228" si="250">Z227</f>
        <v>0.25823406461668802</v>
      </c>
      <c r="AB227" s="79">
        <f t="shared" ref="AB227:AB228" si="251">AA227</f>
        <v>0.25823406461668802</v>
      </c>
      <c r="AC227" s="79">
        <f t="shared" ref="AC227:AC228" si="252">AB227</f>
        <v>0.25823406461668802</v>
      </c>
      <c r="AD227" s="79">
        <f t="shared" ref="AD227:AD228" si="253">AC227</f>
        <v>0.25823406461668802</v>
      </c>
      <c r="AE227" s="79">
        <f t="shared" ref="AE227:AE228" si="254">AD227</f>
        <v>0.25823406461668802</v>
      </c>
      <c r="AF227" s="79">
        <f t="shared" ref="AF227:AF228" si="255">AE227</f>
        <v>0.25823406461668802</v>
      </c>
      <c r="AG227" s="79">
        <f t="shared" ref="AG227:AG228" si="256">AF227</f>
        <v>0.25823406461668802</v>
      </c>
      <c r="AH227" s="79">
        <f t="shared" ref="AH227:AH228" si="257">AG227</f>
        <v>0.25823406461668802</v>
      </c>
      <c r="AI227" s="79">
        <f t="shared" ref="AI227:AI228" si="258">AH227</f>
        <v>0.25823406461668802</v>
      </c>
      <c r="AJ227" s="79">
        <f t="shared" ref="AJ227:AJ228" si="259">AI227</f>
        <v>0.25823406461668802</v>
      </c>
      <c r="AK227" s="79">
        <f t="shared" ref="AK227:AK228" si="260">AJ227</f>
        <v>0.25823406461668802</v>
      </c>
      <c r="AL227" s="79">
        <f t="shared" ref="AL227:AL228" si="261">AK227</f>
        <v>0.25823406461668802</v>
      </c>
      <c r="AM227" s="79">
        <f t="shared" ref="AM227:AM228" si="262">AL227</f>
        <v>0.25823406461668802</v>
      </c>
      <c r="AN227" s="79">
        <f t="shared" ref="AN227:AN228" si="263">AM227</f>
        <v>0.25823406461668802</v>
      </c>
      <c r="AO227" s="79">
        <f t="shared" ref="AO227:AO228" si="264">AN227</f>
        <v>0.25823406461668802</v>
      </c>
      <c r="AP227" s="79">
        <f t="shared" ref="AP227:AP228" si="265">AO227</f>
        <v>0.25823406461668802</v>
      </c>
    </row>
    <row r="228" spans="1:42" s="77" customFormat="1" x14ac:dyDescent="0.3">
      <c r="A228" s="100">
        <f t="shared" si="238"/>
        <v>25</v>
      </c>
      <c r="B228" s="76" t="s">
        <v>468</v>
      </c>
      <c r="C228" s="76" t="s">
        <v>476</v>
      </c>
      <c r="D228" s="76">
        <v>7</v>
      </c>
      <c r="E228" s="76" t="s">
        <v>343</v>
      </c>
      <c r="F228" s="76" t="s">
        <v>342</v>
      </c>
      <c r="G228" s="81" t="s">
        <v>338</v>
      </c>
      <c r="H228" s="76" t="s">
        <v>449</v>
      </c>
      <c r="I228" s="76">
        <v>0</v>
      </c>
      <c r="J228" s="102">
        <f>J227*0.98</f>
        <v>0.22815231643801448</v>
      </c>
      <c r="K228" s="94">
        <f t="shared" ref="K228:O228" si="266">K227*0.98</f>
        <v>0.24374032660464515</v>
      </c>
      <c r="L228" s="78">
        <f t="shared" si="266"/>
        <v>0.21258976937344229</v>
      </c>
      <c r="M228" s="78">
        <f t="shared" si="266"/>
        <v>0.22920173018514009</v>
      </c>
      <c r="N228" s="78">
        <f t="shared" si="266"/>
        <v>0.24794872322111755</v>
      </c>
      <c r="O228" s="78">
        <f t="shared" si="266"/>
        <v>0.25306938332435425</v>
      </c>
      <c r="P228" s="78">
        <f>O228</f>
        <v>0.25306938332435425</v>
      </c>
      <c r="Q228" s="78">
        <f t="shared" si="240"/>
        <v>0.25306938332435425</v>
      </c>
      <c r="R228" s="78">
        <f t="shared" si="241"/>
        <v>0.25306938332435425</v>
      </c>
      <c r="S228" s="78">
        <f t="shared" si="242"/>
        <v>0.25306938332435425</v>
      </c>
      <c r="T228" s="78">
        <f t="shared" si="243"/>
        <v>0.25306938332435425</v>
      </c>
      <c r="U228" s="78">
        <f t="shared" si="244"/>
        <v>0.25306938332435425</v>
      </c>
      <c r="V228" s="78">
        <f t="shared" si="245"/>
        <v>0.25306938332435425</v>
      </c>
      <c r="W228" s="78">
        <f t="shared" si="246"/>
        <v>0.25306938332435425</v>
      </c>
      <c r="X228" s="78">
        <f t="shared" si="247"/>
        <v>0.25306938332435425</v>
      </c>
      <c r="Y228" s="78">
        <f t="shared" si="248"/>
        <v>0.25306938332435425</v>
      </c>
      <c r="Z228" s="78">
        <f t="shared" si="249"/>
        <v>0.25306938332435425</v>
      </c>
      <c r="AA228" s="78">
        <f t="shared" si="250"/>
        <v>0.25306938332435425</v>
      </c>
      <c r="AB228" s="78">
        <f t="shared" si="251"/>
        <v>0.25306938332435425</v>
      </c>
      <c r="AC228" s="78">
        <f t="shared" si="252"/>
        <v>0.25306938332435425</v>
      </c>
      <c r="AD228" s="78">
        <f t="shared" si="253"/>
        <v>0.25306938332435425</v>
      </c>
      <c r="AE228" s="78">
        <f t="shared" si="254"/>
        <v>0.25306938332435425</v>
      </c>
      <c r="AF228" s="78">
        <f t="shared" si="255"/>
        <v>0.25306938332435425</v>
      </c>
      <c r="AG228" s="78">
        <f t="shared" si="256"/>
        <v>0.25306938332435425</v>
      </c>
      <c r="AH228" s="78">
        <f t="shared" si="257"/>
        <v>0.25306938332435425</v>
      </c>
      <c r="AI228" s="78">
        <f t="shared" si="258"/>
        <v>0.25306938332435425</v>
      </c>
      <c r="AJ228" s="78">
        <f t="shared" si="259"/>
        <v>0.25306938332435425</v>
      </c>
      <c r="AK228" s="78">
        <f t="shared" si="260"/>
        <v>0.25306938332435425</v>
      </c>
      <c r="AL228" s="78">
        <f t="shared" si="261"/>
        <v>0.25306938332435425</v>
      </c>
      <c r="AM228" s="78">
        <f t="shared" si="262"/>
        <v>0.25306938332435425</v>
      </c>
      <c r="AN228" s="78">
        <f t="shared" si="263"/>
        <v>0.25306938332435425</v>
      </c>
      <c r="AO228" s="78">
        <f t="shared" si="264"/>
        <v>0.25306938332435425</v>
      </c>
      <c r="AP228" s="78">
        <f t="shared" si="265"/>
        <v>0.25306938332435425</v>
      </c>
    </row>
    <row r="229" spans="1:42" s="77" customFormat="1" x14ac:dyDescent="0.3">
      <c r="A229" s="100">
        <f t="shared" si="238"/>
        <v>25</v>
      </c>
      <c r="B229" s="76" t="s">
        <v>468</v>
      </c>
      <c r="C229" s="76" t="s">
        <v>476</v>
      </c>
      <c r="D229" s="76">
        <v>8</v>
      </c>
      <c r="E229" s="76" t="s">
        <v>344</v>
      </c>
      <c r="F229" s="76" t="s">
        <v>352</v>
      </c>
      <c r="G229" s="76" t="s">
        <v>334</v>
      </c>
      <c r="H229" s="76"/>
      <c r="I229" s="76">
        <v>0</v>
      </c>
      <c r="J229" s="101"/>
      <c r="K229" s="93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</row>
    <row r="230" spans="1:42" s="77" customFormat="1" x14ac:dyDescent="0.3">
      <c r="A230" s="100">
        <f t="shared" si="238"/>
        <v>25</v>
      </c>
      <c r="B230" s="76" t="s">
        <v>468</v>
      </c>
      <c r="C230" s="76" t="s">
        <v>476</v>
      </c>
      <c r="D230" s="76">
        <v>9</v>
      </c>
      <c r="E230" s="76" t="s">
        <v>345</v>
      </c>
      <c r="F230" s="76" t="s">
        <v>353</v>
      </c>
      <c r="G230" s="76" t="s">
        <v>338</v>
      </c>
      <c r="H230" s="76" t="s">
        <v>449</v>
      </c>
      <c r="I230" s="76">
        <v>0</v>
      </c>
      <c r="J230" s="102">
        <v>0.7674657534246575</v>
      </c>
      <c r="K230" s="94">
        <v>0.78588280060882798</v>
      </c>
      <c r="L230" s="78">
        <v>0.63797914003044143</v>
      </c>
      <c r="M230" s="78">
        <v>0.84855403348554026</v>
      </c>
      <c r="N230" s="78">
        <v>0.78767123287671226</v>
      </c>
      <c r="O230" s="78">
        <v>0.85989345509893444</v>
      </c>
      <c r="P230" s="78">
        <f>O230</f>
        <v>0.85989345509893444</v>
      </c>
      <c r="Q230" s="78">
        <f t="shared" ref="Q230" si="267">P230</f>
        <v>0.85989345509893444</v>
      </c>
      <c r="R230" s="78">
        <f t="shared" ref="R230" si="268">Q230</f>
        <v>0.85989345509893444</v>
      </c>
      <c r="S230" s="78">
        <f t="shared" ref="S230" si="269">R230</f>
        <v>0.85989345509893444</v>
      </c>
      <c r="T230" s="78">
        <f t="shared" ref="T230" si="270">S230</f>
        <v>0.85989345509893444</v>
      </c>
      <c r="U230" s="78">
        <f t="shared" ref="U230" si="271">T230</f>
        <v>0.85989345509893444</v>
      </c>
      <c r="V230" s="78">
        <f t="shared" ref="V230" si="272">U230</f>
        <v>0.85989345509893444</v>
      </c>
      <c r="W230" s="78">
        <f t="shared" ref="W230" si="273">V230</f>
        <v>0.85989345509893444</v>
      </c>
      <c r="X230" s="78">
        <f t="shared" ref="X230" si="274">W230</f>
        <v>0.85989345509893444</v>
      </c>
      <c r="Y230" s="78">
        <f t="shared" ref="Y230" si="275">X230</f>
        <v>0.85989345509893444</v>
      </c>
      <c r="Z230" s="78">
        <f t="shared" ref="Z230" si="276">Y230</f>
        <v>0.85989345509893444</v>
      </c>
      <c r="AA230" s="78">
        <f t="shared" ref="AA230" si="277">Z230</f>
        <v>0.85989345509893444</v>
      </c>
      <c r="AB230" s="78">
        <f t="shared" ref="AB230" si="278">AA230</f>
        <v>0.85989345509893444</v>
      </c>
      <c r="AC230" s="78">
        <f t="shared" ref="AC230" si="279">AB230</f>
        <v>0.85989345509893444</v>
      </c>
      <c r="AD230" s="78">
        <f t="shared" ref="AD230" si="280">AC230</f>
        <v>0.85989345509893444</v>
      </c>
      <c r="AE230" s="78">
        <f t="shared" ref="AE230" si="281">AD230</f>
        <v>0.85989345509893444</v>
      </c>
      <c r="AF230" s="78">
        <f t="shared" ref="AF230" si="282">AE230</f>
        <v>0.85989345509893444</v>
      </c>
      <c r="AG230" s="78">
        <f t="shared" ref="AG230" si="283">AF230</f>
        <v>0.85989345509893444</v>
      </c>
      <c r="AH230" s="78">
        <f t="shared" ref="AH230" si="284">AG230</f>
        <v>0.85989345509893444</v>
      </c>
      <c r="AI230" s="78">
        <f t="shared" ref="AI230" si="285">AH230</f>
        <v>0.85989345509893444</v>
      </c>
      <c r="AJ230" s="78">
        <f t="shared" ref="AJ230" si="286">AI230</f>
        <v>0.85989345509893444</v>
      </c>
      <c r="AK230" s="78">
        <f t="shared" ref="AK230" si="287">AJ230</f>
        <v>0.85989345509893444</v>
      </c>
      <c r="AL230" s="78">
        <f t="shared" ref="AL230" si="288">AK230</f>
        <v>0.85989345509893444</v>
      </c>
      <c r="AM230" s="78">
        <f t="shared" ref="AM230" si="289">AL230</f>
        <v>0.85989345509893444</v>
      </c>
      <c r="AN230" s="78">
        <f t="shared" ref="AN230" si="290">AM230</f>
        <v>0.85989345509893444</v>
      </c>
      <c r="AO230" s="78">
        <f t="shared" ref="AO230" si="291">AN230</f>
        <v>0.85989345509893444</v>
      </c>
      <c r="AP230" s="78">
        <f t="shared" ref="AP230" si="292">AO230</f>
        <v>0.85989345509893444</v>
      </c>
    </row>
    <row r="231" spans="1:42" s="77" customFormat="1" ht="15" thickBot="1" x14ac:dyDescent="0.35">
      <c r="A231" s="104">
        <f t="shared" si="238"/>
        <v>25</v>
      </c>
      <c r="B231" s="105" t="s">
        <v>468</v>
      </c>
      <c r="C231" s="105" t="s">
        <v>476</v>
      </c>
      <c r="D231" s="105">
        <v>10</v>
      </c>
      <c r="E231" s="105" t="s">
        <v>346</v>
      </c>
      <c r="F231" s="105" t="s">
        <v>353</v>
      </c>
      <c r="G231" s="105" t="s">
        <v>350</v>
      </c>
      <c r="H231" s="105"/>
      <c r="I231" s="105">
        <v>0</v>
      </c>
      <c r="J231" s="106">
        <v>1</v>
      </c>
      <c r="K231" s="93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</row>
    <row r="232" spans="1:42" x14ac:dyDescent="0.3">
      <c r="A232" s="111">
        <f>A222+1</f>
        <v>26</v>
      </c>
      <c r="B232" s="111" t="s">
        <v>89</v>
      </c>
      <c r="C232" s="111" t="s">
        <v>90</v>
      </c>
      <c r="D232" s="111">
        <v>1</v>
      </c>
      <c r="E232" s="111" t="s">
        <v>333</v>
      </c>
      <c r="F232" s="111" t="s">
        <v>337</v>
      </c>
      <c r="G232" s="112" t="s">
        <v>350</v>
      </c>
      <c r="H232" s="112" t="s">
        <v>441</v>
      </c>
      <c r="I232" s="112">
        <v>0</v>
      </c>
      <c r="J232" s="113">
        <f xml:space="preserve"> (26.24263759+58.85049279+382.80012239)/(5.501*8670*0.0036)</f>
        <v>2.7251068745950282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x14ac:dyDescent="0.3">
      <c r="A233" s="2">
        <f>A232</f>
        <v>26</v>
      </c>
      <c r="B233" s="2" t="s">
        <v>89</v>
      </c>
      <c r="C233" s="2" t="s">
        <v>90</v>
      </c>
      <c r="D233" s="2">
        <v>2</v>
      </c>
      <c r="E233" s="2" t="s">
        <v>335</v>
      </c>
      <c r="F233" s="2" t="s">
        <v>337</v>
      </c>
      <c r="G233" s="62" t="s">
        <v>350</v>
      </c>
      <c r="H233" s="62" t="s">
        <v>442</v>
      </c>
      <c r="I233" s="62">
        <v>0</v>
      </c>
      <c r="J233" s="64">
        <f>J232*0.5%</f>
        <v>1.3625534372975142E-2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x14ac:dyDescent="0.3">
      <c r="A234" s="2">
        <f t="shared" ref="A234:A241" si="293">A233</f>
        <v>26</v>
      </c>
      <c r="B234" s="2" t="s">
        <v>89</v>
      </c>
      <c r="C234" s="2" t="s">
        <v>90</v>
      </c>
      <c r="D234" s="2">
        <v>3</v>
      </c>
      <c r="E234" s="2" t="s">
        <v>336</v>
      </c>
      <c r="F234" s="2"/>
      <c r="G234" s="2" t="s">
        <v>334</v>
      </c>
      <c r="H234" s="2"/>
      <c r="I234" s="2">
        <v>0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x14ac:dyDescent="0.3">
      <c r="A235" s="2">
        <f t="shared" si="293"/>
        <v>26</v>
      </c>
      <c r="B235" s="2" t="s">
        <v>89</v>
      </c>
      <c r="C235" s="2" t="s">
        <v>90</v>
      </c>
      <c r="D235" s="2">
        <v>4</v>
      </c>
      <c r="E235" s="2" t="s">
        <v>339</v>
      </c>
      <c r="F235" s="2" t="s">
        <v>342</v>
      </c>
      <c r="G235" s="2" t="s">
        <v>350</v>
      </c>
      <c r="H235" s="2"/>
      <c r="I235" s="2">
        <v>0</v>
      </c>
      <c r="J235" s="6">
        <v>83.331557948999986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x14ac:dyDescent="0.3">
      <c r="A236" s="2">
        <f t="shared" si="293"/>
        <v>26</v>
      </c>
      <c r="B236" s="2" t="s">
        <v>89</v>
      </c>
      <c r="C236" s="2" t="s">
        <v>90</v>
      </c>
      <c r="D236" s="2">
        <v>5</v>
      </c>
      <c r="E236" s="2" t="s">
        <v>340</v>
      </c>
      <c r="F236" s="2"/>
      <c r="G236" s="2" t="s">
        <v>334</v>
      </c>
      <c r="H236" s="2"/>
      <c r="I236" s="2">
        <v>0</v>
      </c>
      <c r="J236" s="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x14ac:dyDescent="0.3">
      <c r="A237" s="2">
        <f t="shared" si="293"/>
        <v>26</v>
      </c>
      <c r="B237" s="2" t="s">
        <v>89</v>
      </c>
      <c r="C237" s="2" t="s">
        <v>90</v>
      </c>
      <c r="D237" s="2">
        <v>6</v>
      </c>
      <c r="E237" s="2" t="s">
        <v>341</v>
      </c>
      <c r="F237" s="2"/>
      <c r="G237" s="2" t="s">
        <v>334</v>
      </c>
      <c r="H237" s="2"/>
      <c r="I237" s="2">
        <v>0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x14ac:dyDescent="0.3">
      <c r="A238" s="2">
        <f t="shared" si="293"/>
        <v>26</v>
      </c>
      <c r="B238" s="2" t="s">
        <v>89</v>
      </c>
      <c r="C238" s="2" t="s">
        <v>90</v>
      </c>
      <c r="D238" s="2">
        <v>7</v>
      </c>
      <c r="E238" s="2" t="s">
        <v>343</v>
      </c>
      <c r="F238" s="2"/>
      <c r="G238" s="2" t="s">
        <v>334</v>
      </c>
      <c r="H238" s="2"/>
      <c r="I238" s="2">
        <v>0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x14ac:dyDescent="0.3">
      <c r="A239" s="2">
        <f t="shared" si="293"/>
        <v>26</v>
      </c>
      <c r="B239" s="2" t="s">
        <v>89</v>
      </c>
      <c r="C239" s="2" t="s">
        <v>90</v>
      </c>
      <c r="D239" s="2">
        <v>8</v>
      </c>
      <c r="E239" s="2" t="s">
        <v>344</v>
      </c>
      <c r="F239" s="2"/>
      <c r="G239" s="2" t="s">
        <v>334</v>
      </c>
      <c r="H239" s="2"/>
      <c r="I239" s="2">
        <v>0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x14ac:dyDescent="0.3">
      <c r="A240" s="2">
        <f t="shared" si="293"/>
        <v>26</v>
      </c>
      <c r="B240" s="2" t="s">
        <v>89</v>
      </c>
      <c r="C240" s="2" t="s">
        <v>90</v>
      </c>
      <c r="D240" s="2">
        <v>9</v>
      </c>
      <c r="E240" s="2" t="s">
        <v>345</v>
      </c>
      <c r="F240" s="2"/>
      <c r="G240" s="2" t="s">
        <v>334</v>
      </c>
      <c r="H240" s="2"/>
      <c r="I240" s="2">
        <v>0</v>
      </c>
      <c r="J240" s="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x14ac:dyDescent="0.3">
      <c r="A241" s="2">
        <f t="shared" si="293"/>
        <v>26</v>
      </c>
      <c r="B241" s="2" t="s">
        <v>89</v>
      </c>
      <c r="C241" s="2" t="s">
        <v>90</v>
      </c>
      <c r="D241" s="2">
        <v>10</v>
      </c>
      <c r="E241" s="2" t="s">
        <v>346</v>
      </c>
      <c r="F241" s="2"/>
      <c r="G241" s="2" t="s">
        <v>334</v>
      </c>
      <c r="H241" s="2"/>
      <c r="I241" s="2">
        <v>0</v>
      </c>
      <c r="J241" s="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x14ac:dyDescent="0.3">
      <c r="A242" s="48">
        <f t="shared" ref="A242" si="294">A232+1</f>
        <v>27</v>
      </c>
      <c r="B242" s="48" t="s">
        <v>92</v>
      </c>
      <c r="C242" s="48" t="s">
        <v>93</v>
      </c>
      <c r="D242" s="48">
        <v>1</v>
      </c>
      <c r="E242" s="48" t="s">
        <v>333</v>
      </c>
      <c r="F242" s="61" t="s">
        <v>337</v>
      </c>
      <c r="G242" s="61" t="s">
        <v>350</v>
      </c>
      <c r="H242" s="61" t="s">
        <v>443</v>
      </c>
      <c r="I242" s="61">
        <v>0</v>
      </c>
      <c r="J242" s="61">
        <f>1000*1.12*12000/(1000000*0.12)</f>
        <v>112</v>
      </c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</row>
    <row r="243" spans="1:42" x14ac:dyDescent="0.3">
      <c r="A243" s="48">
        <f t="shared" ref="A243:A271" si="295">A242</f>
        <v>27</v>
      </c>
      <c r="B243" s="48" t="s">
        <v>92</v>
      </c>
      <c r="C243" s="48" t="s">
        <v>93</v>
      </c>
      <c r="D243" s="48">
        <v>2</v>
      </c>
      <c r="E243" s="48" t="s">
        <v>335</v>
      </c>
      <c r="F243" s="61" t="s">
        <v>337</v>
      </c>
      <c r="G243" s="61" t="s">
        <v>350</v>
      </c>
      <c r="H243" s="61" t="s">
        <v>444</v>
      </c>
      <c r="I243" s="61">
        <v>0</v>
      </c>
      <c r="J243" s="61">
        <f>J242*5%</f>
        <v>5.6000000000000005</v>
      </c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</row>
    <row r="244" spans="1:42" x14ac:dyDescent="0.3">
      <c r="A244" s="48">
        <f t="shared" si="295"/>
        <v>27</v>
      </c>
      <c r="B244" s="48" t="s">
        <v>92</v>
      </c>
      <c r="C244" s="48" t="s">
        <v>93</v>
      </c>
      <c r="D244" s="48">
        <v>3</v>
      </c>
      <c r="E244" s="48" t="s">
        <v>336</v>
      </c>
      <c r="F244" s="48"/>
      <c r="G244" s="48" t="s">
        <v>347</v>
      </c>
      <c r="H244" s="48"/>
      <c r="I244" s="48">
        <v>0</v>
      </c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</row>
    <row r="245" spans="1:42" x14ac:dyDescent="0.3">
      <c r="A245" s="48">
        <f t="shared" si="295"/>
        <v>27</v>
      </c>
      <c r="B245" s="48" t="s">
        <v>92</v>
      </c>
      <c r="C245" s="48" t="s">
        <v>93</v>
      </c>
      <c r="D245" s="48">
        <v>4</v>
      </c>
      <c r="E245" s="48" t="s">
        <v>339</v>
      </c>
      <c r="F245" s="48"/>
      <c r="G245" s="48" t="s">
        <v>334</v>
      </c>
      <c r="H245" s="48"/>
      <c r="I245" s="48">
        <v>0</v>
      </c>
      <c r="J245" s="50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</row>
    <row r="246" spans="1:42" x14ac:dyDescent="0.3">
      <c r="A246" s="48">
        <f t="shared" si="295"/>
        <v>27</v>
      </c>
      <c r="B246" s="48" t="s">
        <v>92</v>
      </c>
      <c r="C246" s="48" t="s">
        <v>93</v>
      </c>
      <c r="D246" s="48">
        <v>5</v>
      </c>
      <c r="E246" s="48" t="s">
        <v>340</v>
      </c>
      <c r="F246" s="48"/>
      <c r="G246" s="48" t="s">
        <v>334</v>
      </c>
      <c r="H246" s="48"/>
      <c r="I246" s="48">
        <v>0</v>
      </c>
      <c r="J246" s="50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</row>
    <row r="247" spans="1:42" x14ac:dyDescent="0.3">
      <c r="A247" s="48">
        <f t="shared" si="295"/>
        <v>27</v>
      </c>
      <c r="B247" s="48" t="s">
        <v>92</v>
      </c>
      <c r="C247" s="48" t="s">
        <v>93</v>
      </c>
      <c r="D247" s="48">
        <v>6</v>
      </c>
      <c r="E247" s="48" t="s">
        <v>341</v>
      </c>
      <c r="F247" s="48"/>
      <c r="G247" s="48" t="s">
        <v>334</v>
      </c>
      <c r="H247" s="48"/>
      <c r="I247" s="48">
        <v>0</v>
      </c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</row>
    <row r="248" spans="1:42" x14ac:dyDescent="0.3">
      <c r="A248" s="48">
        <f t="shared" si="295"/>
        <v>27</v>
      </c>
      <c r="B248" s="48" t="s">
        <v>92</v>
      </c>
      <c r="C248" s="48" t="s">
        <v>93</v>
      </c>
      <c r="D248" s="48">
        <v>7</v>
      </c>
      <c r="E248" s="48" t="s">
        <v>343</v>
      </c>
      <c r="F248" s="48"/>
      <c r="G248" s="48" t="s">
        <v>334</v>
      </c>
      <c r="H248" s="48"/>
      <c r="I248" s="48">
        <v>0</v>
      </c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</row>
    <row r="249" spans="1:42" x14ac:dyDescent="0.3">
      <c r="A249" s="48">
        <f t="shared" si="295"/>
        <v>27</v>
      </c>
      <c r="B249" s="48" t="s">
        <v>92</v>
      </c>
      <c r="C249" s="48" t="s">
        <v>93</v>
      </c>
      <c r="D249" s="48">
        <v>8</v>
      </c>
      <c r="E249" s="48" t="s">
        <v>344</v>
      </c>
      <c r="F249" s="48"/>
      <c r="G249" s="48" t="s">
        <v>334</v>
      </c>
      <c r="H249" s="48"/>
      <c r="I249" s="48">
        <v>0</v>
      </c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</row>
    <row r="250" spans="1:42" x14ac:dyDescent="0.3">
      <c r="A250" s="48">
        <f t="shared" si="295"/>
        <v>27</v>
      </c>
      <c r="B250" s="48" t="s">
        <v>92</v>
      </c>
      <c r="C250" s="48" t="s">
        <v>93</v>
      </c>
      <c r="D250" s="48">
        <v>9</v>
      </c>
      <c r="E250" s="48" t="s">
        <v>345</v>
      </c>
      <c r="F250" s="48"/>
      <c r="G250" s="48" t="s">
        <v>334</v>
      </c>
      <c r="H250" s="48"/>
      <c r="I250" s="48">
        <v>0</v>
      </c>
      <c r="J250" s="50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</row>
    <row r="251" spans="1:42" x14ac:dyDescent="0.3">
      <c r="A251" s="48">
        <f t="shared" si="295"/>
        <v>27</v>
      </c>
      <c r="B251" s="48" t="s">
        <v>92</v>
      </c>
      <c r="C251" s="48" t="s">
        <v>93</v>
      </c>
      <c r="D251" s="48">
        <v>10</v>
      </c>
      <c r="E251" s="48" t="s">
        <v>346</v>
      </c>
      <c r="F251" s="48"/>
      <c r="G251" s="48" t="s">
        <v>334</v>
      </c>
      <c r="H251" s="48"/>
      <c r="I251" s="48">
        <v>0</v>
      </c>
      <c r="J251" s="50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</row>
    <row r="252" spans="1:42" x14ac:dyDescent="0.3">
      <c r="A252" s="2">
        <f t="shared" ref="A252" si="296">A242+1</f>
        <v>28</v>
      </c>
      <c r="B252" s="2" t="s">
        <v>94</v>
      </c>
      <c r="C252" s="2" t="s">
        <v>95</v>
      </c>
      <c r="D252" s="2">
        <v>1</v>
      </c>
      <c r="E252" s="2" t="s">
        <v>333</v>
      </c>
      <c r="F252" s="62" t="s">
        <v>337</v>
      </c>
      <c r="G252" s="62" t="s">
        <v>350</v>
      </c>
      <c r="H252" s="62" t="s">
        <v>441</v>
      </c>
      <c r="I252" s="62">
        <v>0</v>
      </c>
      <c r="J252" s="65">
        <f>(82.70071105+32.95726026+54.56960634)/(5.501*8760*0.0036)</f>
        <v>0.98125451321244028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x14ac:dyDescent="0.3">
      <c r="A253" s="2">
        <f t="shared" ref="A253" si="297">A252</f>
        <v>28</v>
      </c>
      <c r="B253" s="2" t="s">
        <v>94</v>
      </c>
      <c r="C253" s="2" t="s">
        <v>95</v>
      </c>
      <c r="D253" s="2">
        <v>2</v>
      </c>
      <c r="E253" s="2" t="s">
        <v>335</v>
      </c>
      <c r="F253" s="62" t="s">
        <v>337</v>
      </c>
      <c r="G253" s="62" t="s">
        <v>350</v>
      </c>
      <c r="H253" s="62" t="s">
        <v>442</v>
      </c>
      <c r="I253" s="62">
        <v>0</v>
      </c>
      <c r="J253" s="65">
        <f>J232*0.5%</f>
        <v>1.3625534372975142E-2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x14ac:dyDescent="0.3">
      <c r="A254" s="2">
        <f t="shared" si="295"/>
        <v>28</v>
      </c>
      <c r="B254" s="2" t="s">
        <v>94</v>
      </c>
      <c r="C254" s="2" t="s">
        <v>95</v>
      </c>
      <c r="D254" s="2">
        <v>3</v>
      </c>
      <c r="E254" s="2" t="s">
        <v>336</v>
      </c>
      <c r="F254" s="2"/>
      <c r="G254" s="2" t="s">
        <v>334</v>
      </c>
      <c r="H254" s="2"/>
      <c r="I254" s="2">
        <v>0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x14ac:dyDescent="0.3">
      <c r="A255" s="2">
        <f t="shared" si="295"/>
        <v>28</v>
      </c>
      <c r="B255" s="2" t="s">
        <v>94</v>
      </c>
      <c r="C255" s="2" t="s">
        <v>95</v>
      </c>
      <c r="D255" s="2">
        <v>4</v>
      </c>
      <c r="E255" s="2" t="s">
        <v>339</v>
      </c>
      <c r="F255" s="2" t="s">
        <v>342</v>
      </c>
      <c r="G255" s="2" t="s">
        <v>350</v>
      </c>
      <c r="H255" s="2"/>
      <c r="I255" s="2">
        <v>0</v>
      </c>
      <c r="J255" s="6">
        <v>81.978905999999995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x14ac:dyDescent="0.3">
      <c r="A256" s="2">
        <f t="shared" si="295"/>
        <v>28</v>
      </c>
      <c r="B256" s="2" t="s">
        <v>94</v>
      </c>
      <c r="C256" s="2" t="s">
        <v>95</v>
      </c>
      <c r="D256" s="2">
        <v>5</v>
      </c>
      <c r="E256" s="2" t="s">
        <v>340</v>
      </c>
      <c r="F256" s="2"/>
      <c r="G256" s="2" t="s">
        <v>334</v>
      </c>
      <c r="H256" s="2"/>
      <c r="I256" s="2">
        <v>0</v>
      </c>
      <c r="J256" s="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x14ac:dyDescent="0.3">
      <c r="A257" s="2">
        <f t="shared" si="295"/>
        <v>28</v>
      </c>
      <c r="B257" s="2" t="s">
        <v>94</v>
      </c>
      <c r="C257" s="2" t="s">
        <v>95</v>
      </c>
      <c r="D257" s="2">
        <v>6</v>
      </c>
      <c r="E257" s="2" t="s">
        <v>341</v>
      </c>
      <c r="F257" s="2"/>
      <c r="G257" s="2" t="s">
        <v>334</v>
      </c>
      <c r="H257" s="2"/>
      <c r="I257" s="2">
        <v>0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x14ac:dyDescent="0.3">
      <c r="A258" s="2">
        <f t="shared" si="295"/>
        <v>28</v>
      </c>
      <c r="B258" s="2" t="s">
        <v>94</v>
      </c>
      <c r="C258" s="2" t="s">
        <v>95</v>
      </c>
      <c r="D258" s="2">
        <v>7</v>
      </c>
      <c r="E258" s="2" t="s">
        <v>343</v>
      </c>
      <c r="F258" s="2"/>
      <c r="G258" s="2" t="s">
        <v>334</v>
      </c>
      <c r="H258" s="2"/>
      <c r="I258" s="2">
        <v>0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x14ac:dyDescent="0.3">
      <c r="A259" s="2">
        <f t="shared" si="295"/>
        <v>28</v>
      </c>
      <c r="B259" s="2" t="s">
        <v>94</v>
      </c>
      <c r="C259" s="2" t="s">
        <v>95</v>
      </c>
      <c r="D259" s="2">
        <v>8</v>
      </c>
      <c r="E259" s="2" t="s">
        <v>344</v>
      </c>
      <c r="F259" s="2"/>
      <c r="G259" s="2" t="s">
        <v>334</v>
      </c>
      <c r="H259" s="2"/>
      <c r="I259" s="2">
        <v>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x14ac:dyDescent="0.3">
      <c r="A260" s="2">
        <f t="shared" si="295"/>
        <v>28</v>
      </c>
      <c r="B260" s="2" t="s">
        <v>94</v>
      </c>
      <c r="C260" s="2" t="s">
        <v>95</v>
      </c>
      <c r="D260" s="2">
        <v>9</v>
      </c>
      <c r="E260" s="2" t="s">
        <v>345</v>
      </c>
      <c r="F260" s="2"/>
      <c r="G260" s="2" t="s">
        <v>334</v>
      </c>
      <c r="H260" s="2"/>
      <c r="I260" s="2">
        <v>0</v>
      </c>
      <c r="J260" s="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x14ac:dyDescent="0.3">
      <c r="A261" s="2">
        <f t="shared" si="295"/>
        <v>28</v>
      </c>
      <c r="B261" s="2" t="s">
        <v>94</v>
      </c>
      <c r="C261" s="2" t="s">
        <v>95</v>
      </c>
      <c r="D261" s="2">
        <v>10</v>
      </c>
      <c r="E261" s="2" t="s">
        <v>346</v>
      </c>
      <c r="F261" s="2"/>
      <c r="G261" s="2" t="s">
        <v>334</v>
      </c>
      <c r="H261" s="2"/>
      <c r="I261" s="2">
        <v>0</v>
      </c>
      <c r="J261" s="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x14ac:dyDescent="0.3">
      <c r="A262" s="48">
        <f t="shared" ref="A262" si="298">A252+1</f>
        <v>29</v>
      </c>
      <c r="B262" s="48" t="s">
        <v>96</v>
      </c>
      <c r="C262" s="48" t="s">
        <v>97</v>
      </c>
      <c r="D262" s="48">
        <v>1</v>
      </c>
      <c r="E262" s="48" t="s">
        <v>333</v>
      </c>
      <c r="F262" s="61" t="s">
        <v>337</v>
      </c>
      <c r="G262" s="61" t="s">
        <v>350</v>
      </c>
      <c r="H262" s="61" t="s">
        <v>445</v>
      </c>
      <c r="I262" s="61">
        <v>0</v>
      </c>
      <c r="J262" s="66">
        <v>4.5</v>
      </c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</row>
    <row r="263" spans="1:42" x14ac:dyDescent="0.3">
      <c r="A263" s="48">
        <f t="shared" ref="A263" si="299">A262</f>
        <v>29</v>
      </c>
      <c r="B263" s="48" t="s">
        <v>96</v>
      </c>
      <c r="C263" s="48" t="s">
        <v>97</v>
      </c>
      <c r="D263" s="48">
        <v>2</v>
      </c>
      <c r="E263" s="48" t="s">
        <v>335</v>
      </c>
      <c r="F263" s="61" t="s">
        <v>337</v>
      </c>
      <c r="G263" s="61" t="s">
        <v>350</v>
      </c>
      <c r="H263" s="61" t="s">
        <v>446</v>
      </c>
      <c r="I263" s="61">
        <v>0</v>
      </c>
      <c r="J263" s="61">
        <f>J262*5%</f>
        <v>0.22500000000000001</v>
      </c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</row>
    <row r="264" spans="1:42" x14ac:dyDescent="0.3">
      <c r="A264" s="48">
        <f t="shared" si="295"/>
        <v>29</v>
      </c>
      <c r="B264" s="48" t="s">
        <v>96</v>
      </c>
      <c r="C264" s="48" t="s">
        <v>97</v>
      </c>
      <c r="D264" s="48">
        <v>3</v>
      </c>
      <c r="E264" s="48" t="s">
        <v>336</v>
      </c>
      <c r="F264" s="48"/>
      <c r="G264" s="48" t="s">
        <v>347</v>
      </c>
      <c r="H264" s="48"/>
      <c r="I264" s="48">
        <v>0</v>
      </c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</row>
    <row r="265" spans="1:42" x14ac:dyDescent="0.3">
      <c r="A265" s="48">
        <f t="shared" si="295"/>
        <v>29</v>
      </c>
      <c r="B265" s="48" t="s">
        <v>96</v>
      </c>
      <c r="C265" s="48" t="s">
        <v>97</v>
      </c>
      <c r="D265" s="48">
        <v>4</v>
      </c>
      <c r="E265" s="48" t="s">
        <v>339</v>
      </c>
      <c r="F265" s="48"/>
      <c r="G265" s="48" t="s">
        <v>334</v>
      </c>
      <c r="H265" s="48"/>
      <c r="I265" s="48">
        <v>0</v>
      </c>
      <c r="J265" s="50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</row>
    <row r="266" spans="1:42" x14ac:dyDescent="0.3">
      <c r="A266" s="48">
        <f t="shared" si="295"/>
        <v>29</v>
      </c>
      <c r="B266" s="48" t="s">
        <v>96</v>
      </c>
      <c r="C266" s="48" t="s">
        <v>97</v>
      </c>
      <c r="D266" s="48">
        <v>5</v>
      </c>
      <c r="E266" s="48" t="s">
        <v>340</v>
      </c>
      <c r="F266" s="48"/>
      <c r="G266" s="48" t="s">
        <v>334</v>
      </c>
      <c r="H266" s="48"/>
      <c r="I266" s="48">
        <v>0</v>
      </c>
      <c r="J266" s="50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</row>
    <row r="267" spans="1:42" x14ac:dyDescent="0.3">
      <c r="A267" s="48">
        <f t="shared" si="295"/>
        <v>29</v>
      </c>
      <c r="B267" s="48" t="s">
        <v>96</v>
      </c>
      <c r="C267" s="48" t="s">
        <v>97</v>
      </c>
      <c r="D267" s="48">
        <v>6</v>
      </c>
      <c r="E267" s="48" t="s">
        <v>341</v>
      </c>
      <c r="F267" s="48"/>
      <c r="G267" s="48" t="s">
        <v>334</v>
      </c>
      <c r="H267" s="48"/>
      <c r="I267" s="48">
        <v>0</v>
      </c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</row>
    <row r="268" spans="1:42" x14ac:dyDescent="0.3">
      <c r="A268" s="48">
        <f t="shared" si="295"/>
        <v>29</v>
      </c>
      <c r="B268" s="48" t="s">
        <v>96</v>
      </c>
      <c r="C268" s="48" t="s">
        <v>97</v>
      </c>
      <c r="D268" s="48">
        <v>7</v>
      </c>
      <c r="E268" s="48" t="s">
        <v>343</v>
      </c>
      <c r="F268" s="48"/>
      <c r="G268" s="48" t="s">
        <v>334</v>
      </c>
      <c r="H268" s="48"/>
      <c r="I268" s="48">
        <v>0</v>
      </c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</row>
    <row r="269" spans="1:42" x14ac:dyDescent="0.3">
      <c r="A269" s="48">
        <f t="shared" si="295"/>
        <v>29</v>
      </c>
      <c r="B269" s="48" t="s">
        <v>96</v>
      </c>
      <c r="C269" s="48" t="s">
        <v>97</v>
      </c>
      <c r="D269" s="48">
        <v>8</v>
      </c>
      <c r="E269" s="48" t="s">
        <v>344</v>
      </c>
      <c r="F269" s="48"/>
      <c r="G269" s="48" t="s">
        <v>334</v>
      </c>
      <c r="H269" s="48"/>
      <c r="I269" s="48">
        <v>0</v>
      </c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</row>
    <row r="270" spans="1:42" x14ac:dyDescent="0.3">
      <c r="A270" s="48">
        <f t="shared" si="295"/>
        <v>29</v>
      </c>
      <c r="B270" s="48" t="s">
        <v>96</v>
      </c>
      <c r="C270" s="48" t="s">
        <v>97</v>
      </c>
      <c r="D270" s="48">
        <v>9</v>
      </c>
      <c r="E270" s="48" t="s">
        <v>345</v>
      </c>
      <c r="F270" s="48"/>
      <c r="G270" s="48" t="s">
        <v>334</v>
      </c>
      <c r="H270" s="48"/>
      <c r="I270" s="48">
        <v>0</v>
      </c>
      <c r="J270" s="50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</row>
    <row r="271" spans="1:42" x14ac:dyDescent="0.3">
      <c r="A271" s="48">
        <f t="shared" si="295"/>
        <v>29</v>
      </c>
      <c r="B271" s="48" t="s">
        <v>96</v>
      </c>
      <c r="C271" s="48" t="s">
        <v>97</v>
      </c>
      <c r="D271" s="48">
        <v>10</v>
      </c>
      <c r="E271" s="48" t="s">
        <v>346</v>
      </c>
      <c r="F271" s="48"/>
      <c r="G271" s="48" t="s">
        <v>334</v>
      </c>
      <c r="H271" s="48"/>
      <c r="I271" s="48">
        <v>0</v>
      </c>
      <c r="J271" s="50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</row>
  </sheetData>
  <autoFilter ref="A1:AP271" xr:uid="{00000000-0001-0000-0200-000000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06"/>
  <sheetViews>
    <sheetView workbookViewId="0">
      <pane ySplit="1" topLeftCell="A38" activePane="bottomLeft" state="frozen"/>
      <selection pane="bottomLeft" activeCell="B21" sqref="B21"/>
    </sheetView>
  </sheetViews>
  <sheetFormatPr defaultColWidth="8.6640625" defaultRowHeight="14.4" x14ac:dyDescent="0.3"/>
  <cols>
    <col min="1" max="1" width="7.5546875" bestFit="1" customWidth="1"/>
    <col min="2" max="2" width="26.6640625" bestFit="1" customWidth="1"/>
    <col min="3" max="3" width="52.6640625" bestFit="1" customWidth="1"/>
    <col min="4" max="4" width="12.6640625" bestFit="1" customWidth="1"/>
    <col min="5" max="5" width="16.33203125" bestFit="1" customWidth="1"/>
    <col min="6" max="6" width="12.6640625" customWidth="1"/>
    <col min="7" max="7" width="16.33203125" bestFit="1" customWidth="1"/>
    <col min="8" max="8" width="23.6640625" bestFit="1" customWidth="1"/>
    <col min="9" max="9" width="9.6640625" customWidth="1"/>
    <col min="10" max="41" width="5" bestFit="1" customWidth="1"/>
  </cols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331</v>
      </c>
      <c r="H1" s="1" t="s">
        <v>332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3">
      <c r="A2" s="2">
        <v>1</v>
      </c>
      <c r="B2" s="2" t="s">
        <v>99</v>
      </c>
      <c r="C2" s="2" t="s">
        <v>100</v>
      </c>
      <c r="D2" s="2">
        <v>1</v>
      </c>
      <c r="E2" s="2" t="s">
        <v>333</v>
      </c>
      <c r="F2" s="2"/>
      <c r="G2" s="2" t="s">
        <v>334</v>
      </c>
      <c r="H2" s="2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3">
      <c r="A3" s="2">
        <v>1</v>
      </c>
      <c r="B3" s="2" t="s">
        <v>99</v>
      </c>
      <c r="C3" s="2" t="s">
        <v>100</v>
      </c>
      <c r="D3" s="2">
        <v>2</v>
      </c>
      <c r="E3" s="2" t="s">
        <v>335</v>
      </c>
      <c r="F3" s="2"/>
      <c r="G3" s="2" t="s">
        <v>334</v>
      </c>
      <c r="H3" s="2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3">
      <c r="A4" s="2">
        <v>1</v>
      </c>
      <c r="B4" s="2" t="s">
        <v>99</v>
      </c>
      <c r="C4" s="2" t="s">
        <v>100</v>
      </c>
      <c r="D4" s="2">
        <v>3</v>
      </c>
      <c r="E4" s="2" t="s">
        <v>339</v>
      </c>
      <c r="F4" s="2"/>
      <c r="G4" s="2" t="s">
        <v>334</v>
      </c>
      <c r="H4" s="2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3">
      <c r="A5" s="51">
        <v>2</v>
      </c>
      <c r="B5" s="51" t="s">
        <v>101</v>
      </c>
      <c r="C5" s="51" t="s">
        <v>102</v>
      </c>
      <c r="D5" s="51">
        <v>1</v>
      </c>
      <c r="E5" s="51" t="s">
        <v>333</v>
      </c>
      <c r="F5" s="51"/>
      <c r="G5" s="51" t="s">
        <v>334</v>
      </c>
      <c r="H5" s="51">
        <v>0</v>
      </c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spans="1:41" x14ac:dyDescent="0.3">
      <c r="A6" s="51">
        <v>2</v>
      </c>
      <c r="B6" s="51" t="s">
        <v>101</v>
      </c>
      <c r="C6" s="51" t="s">
        <v>102</v>
      </c>
      <c r="D6" s="51">
        <v>2</v>
      </c>
      <c r="E6" s="51" t="s">
        <v>335</v>
      </c>
      <c r="F6" s="51"/>
      <c r="G6" s="51" t="s">
        <v>334</v>
      </c>
      <c r="H6" s="51">
        <v>0</v>
      </c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</row>
    <row r="7" spans="1:41" x14ac:dyDescent="0.3">
      <c r="A7" s="51">
        <v>2</v>
      </c>
      <c r="B7" s="51" t="s">
        <v>101</v>
      </c>
      <c r="C7" s="51" t="s">
        <v>102</v>
      </c>
      <c r="D7" s="51">
        <v>3</v>
      </c>
      <c r="E7" s="51" t="s">
        <v>339</v>
      </c>
      <c r="F7" s="51"/>
      <c r="G7" s="51" t="s">
        <v>334</v>
      </c>
      <c r="H7" s="51">
        <v>0</v>
      </c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</row>
    <row r="8" spans="1:41" x14ac:dyDescent="0.3">
      <c r="A8" s="2">
        <v>3</v>
      </c>
      <c r="B8" s="2" t="s">
        <v>103</v>
      </c>
      <c r="C8" s="2" t="s">
        <v>104</v>
      </c>
      <c r="D8" s="2">
        <v>1</v>
      </c>
      <c r="E8" s="2" t="s">
        <v>333</v>
      </c>
      <c r="F8" s="2"/>
      <c r="G8" s="2" t="s">
        <v>334</v>
      </c>
      <c r="H8" s="2"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3">
      <c r="A9" s="2">
        <v>3</v>
      </c>
      <c r="B9" s="2" t="s">
        <v>103</v>
      </c>
      <c r="C9" s="2" t="s">
        <v>104</v>
      </c>
      <c r="D9" s="2">
        <v>2</v>
      </c>
      <c r="E9" s="2" t="s">
        <v>335</v>
      </c>
      <c r="F9" s="2"/>
      <c r="G9" s="2" t="s">
        <v>334</v>
      </c>
      <c r="H9" s="2">
        <v>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3">
      <c r="A10" s="2">
        <v>3</v>
      </c>
      <c r="B10" s="2" t="s">
        <v>103</v>
      </c>
      <c r="C10" s="2" t="s">
        <v>104</v>
      </c>
      <c r="D10" s="2">
        <v>3</v>
      </c>
      <c r="E10" s="2" t="s">
        <v>339</v>
      </c>
      <c r="F10" s="2"/>
      <c r="G10" s="2" t="s">
        <v>334</v>
      </c>
      <c r="H10" s="2">
        <v>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3">
      <c r="A11" s="51">
        <v>4</v>
      </c>
      <c r="B11" s="51" t="s">
        <v>105</v>
      </c>
      <c r="C11" s="51" t="s">
        <v>106</v>
      </c>
      <c r="D11" s="51">
        <v>1</v>
      </c>
      <c r="E11" s="51" t="s">
        <v>333</v>
      </c>
      <c r="F11" s="51"/>
      <c r="G11" s="51" t="s">
        <v>334</v>
      </c>
      <c r="H11" s="51">
        <v>0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spans="1:41" x14ac:dyDescent="0.3">
      <c r="A12" s="51">
        <v>4</v>
      </c>
      <c r="B12" s="51" t="s">
        <v>105</v>
      </c>
      <c r="C12" s="51" t="s">
        <v>106</v>
      </c>
      <c r="D12" s="51">
        <v>2</v>
      </c>
      <c r="E12" s="51" t="s">
        <v>335</v>
      </c>
      <c r="F12" s="51"/>
      <c r="G12" s="51" t="s">
        <v>334</v>
      </c>
      <c r="H12" s="51">
        <v>0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</row>
    <row r="13" spans="1:41" x14ac:dyDescent="0.3">
      <c r="A13" s="51">
        <v>4</v>
      </c>
      <c r="B13" s="51" t="s">
        <v>105</v>
      </c>
      <c r="C13" s="51" t="s">
        <v>106</v>
      </c>
      <c r="D13" s="51">
        <v>3</v>
      </c>
      <c r="E13" s="51" t="s">
        <v>339</v>
      </c>
      <c r="F13" s="51"/>
      <c r="G13" s="51" t="s">
        <v>334</v>
      </c>
      <c r="H13" s="51">
        <v>0</v>
      </c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</row>
    <row r="14" spans="1:41" x14ac:dyDescent="0.3">
      <c r="A14" s="2">
        <v>5</v>
      </c>
      <c r="B14" s="2" t="s">
        <v>367</v>
      </c>
      <c r="C14" s="2" t="s">
        <v>368</v>
      </c>
      <c r="D14" s="2">
        <v>1</v>
      </c>
      <c r="E14" s="2" t="s">
        <v>333</v>
      </c>
      <c r="F14" s="2"/>
      <c r="G14" s="2" t="s">
        <v>334</v>
      </c>
      <c r="H14" s="2">
        <v>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3">
      <c r="A15" s="2">
        <v>5</v>
      </c>
      <c r="B15" s="2" t="s">
        <v>367</v>
      </c>
      <c r="C15" s="2" t="s">
        <v>368</v>
      </c>
      <c r="D15" s="2">
        <v>2</v>
      </c>
      <c r="E15" s="2" t="s">
        <v>335</v>
      </c>
      <c r="F15" s="2"/>
      <c r="G15" s="2" t="s">
        <v>334</v>
      </c>
      <c r="H15" s="2">
        <v>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3">
      <c r="A16" s="2">
        <v>5</v>
      </c>
      <c r="B16" s="2" t="s">
        <v>367</v>
      </c>
      <c r="C16" s="2" t="s">
        <v>368</v>
      </c>
      <c r="D16" s="2">
        <v>3</v>
      </c>
      <c r="E16" s="2" t="s">
        <v>339</v>
      </c>
      <c r="F16" s="2"/>
      <c r="G16" s="2" t="s">
        <v>334</v>
      </c>
      <c r="H16" s="2">
        <v>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3">
      <c r="A17" s="51">
        <v>6</v>
      </c>
      <c r="B17" s="51" t="s">
        <v>109</v>
      </c>
      <c r="C17" s="51" t="s">
        <v>110</v>
      </c>
      <c r="D17" s="51">
        <v>1</v>
      </c>
      <c r="E17" s="51" t="s">
        <v>333</v>
      </c>
      <c r="F17" s="51"/>
      <c r="G17" s="51" t="s">
        <v>334</v>
      </c>
      <c r="H17" s="51">
        <v>0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</row>
    <row r="18" spans="1:41" x14ac:dyDescent="0.3">
      <c r="A18" s="51">
        <v>6</v>
      </c>
      <c r="B18" s="51" t="s">
        <v>109</v>
      </c>
      <c r="C18" s="51" t="s">
        <v>110</v>
      </c>
      <c r="D18" s="51">
        <v>2</v>
      </c>
      <c r="E18" s="51" t="s">
        <v>335</v>
      </c>
      <c r="F18" s="51"/>
      <c r="G18" s="51" t="s">
        <v>334</v>
      </c>
      <c r="H18" s="51">
        <v>0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</row>
    <row r="19" spans="1:41" x14ac:dyDescent="0.3">
      <c r="A19" s="51">
        <v>6</v>
      </c>
      <c r="B19" s="51" t="s">
        <v>109</v>
      </c>
      <c r="C19" s="51" t="s">
        <v>110</v>
      </c>
      <c r="D19" s="51">
        <v>3</v>
      </c>
      <c r="E19" s="51" t="s">
        <v>339</v>
      </c>
      <c r="F19" s="51"/>
      <c r="G19" s="51" t="s">
        <v>334</v>
      </c>
      <c r="H19" s="51">
        <v>0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</row>
    <row r="20" spans="1:41" x14ac:dyDescent="0.3">
      <c r="A20" s="51">
        <v>7</v>
      </c>
      <c r="B20" s="51" t="s">
        <v>483</v>
      </c>
      <c r="C20" s="51" t="s">
        <v>484</v>
      </c>
      <c r="D20" s="51">
        <v>1</v>
      </c>
      <c r="E20" s="51" t="s">
        <v>333</v>
      </c>
      <c r="F20" s="51"/>
      <c r="G20" s="51" t="s">
        <v>334</v>
      </c>
      <c r="H20" s="51">
        <v>0</v>
      </c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</row>
    <row r="21" spans="1:41" x14ac:dyDescent="0.3">
      <c r="A21" s="51">
        <v>7</v>
      </c>
      <c r="B21" s="51" t="s">
        <v>483</v>
      </c>
      <c r="C21" s="51" t="s">
        <v>484</v>
      </c>
      <c r="D21" s="51">
        <v>2</v>
      </c>
      <c r="E21" s="51" t="s">
        <v>335</v>
      </c>
      <c r="F21" s="51"/>
      <c r="G21" s="51" t="s">
        <v>334</v>
      </c>
      <c r="H21" s="51">
        <v>0</v>
      </c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</row>
    <row r="22" spans="1:41" x14ac:dyDescent="0.3">
      <c r="A22" s="51">
        <v>7</v>
      </c>
      <c r="B22" s="51" t="s">
        <v>483</v>
      </c>
      <c r="C22" s="51" t="s">
        <v>485</v>
      </c>
      <c r="D22" s="51">
        <v>3</v>
      </c>
      <c r="E22" s="51" t="s">
        <v>339</v>
      </c>
      <c r="F22" s="51"/>
      <c r="G22" s="51" t="s">
        <v>334</v>
      </c>
      <c r="H22" s="51">
        <v>0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</row>
    <row r="23" spans="1:41" x14ac:dyDescent="0.3">
      <c r="A23" s="2">
        <v>8</v>
      </c>
      <c r="B23" s="2" t="s">
        <v>111</v>
      </c>
      <c r="C23" s="2" t="s">
        <v>112</v>
      </c>
      <c r="D23" s="2">
        <v>1</v>
      </c>
      <c r="E23" s="2" t="s">
        <v>333</v>
      </c>
      <c r="F23" s="2"/>
      <c r="G23" s="2" t="s">
        <v>334</v>
      </c>
      <c r="H23" s="2">
        <v>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3">
      <c r="A24" s="2">
        <v>8</v>
      </c>
      <c r="B24" s="2" t="s">
        <v>111</v>
      </c>
      <c r="C24" s="2" t="s">
        <v>112</v>
      </c>
      <c r="D24" s="2">
        <v>2</v>
      </c>
      <c r="E24" s="2" t="s">
        <v>335</v>
      </c>
      <c r="F24" s="2"/>
      <c r="G24" s="2" t="s">
        <v>334</v>
      </c>
      <c r="H24" s="2">
        <v>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3">
      <c r="A25" s="2">
        <v>8</v>
      </c>
      <c r="B25" s="2" t="s">
        <v>111</v>
      </c>
      <c r="C25" s="2" t="s">
        <v>112</v>
      </c>
      <c r="D25" s="2">
        <v>3</v>
      </c>
      <c r="E25" s="2" t="s">
        <v>339</v>
      </c>
      <c r="F25" s="2"/>
      <c r="G25" s="2" t="s">
        <v>334</v>
      </c>
      <c r="H25" s="2">
        <v>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3">
      <c r="A26" s="51">
        <v>9</v>
      </c>
      <c r="B26" s="51" t="s">
        <v>113</v>
      </c>
      <c r="C26" s="51" t="s">
        <v>114</v>
      </c>
      <c r="D26" s="51">
        <v>1</v>
      </c>
      <c r="E26" s="51" t="s">
        <v>333</v>
      </c>
      <c r="F26" s="51"/>
      <c r="G26" s="51" t="s">
        <v>334</v>
      </c>
      <c r="H26" s="51">
        <v>0</v>
      </c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</row>
    <row r="27" spans="1:41" x14ac:dyDescent="0.3">
      <c r="A27" s="51">
        <v>9</v>
      </c>
      <c r="B27" s="51" t="s">
        <v>113</v>
      </c>
      <c r="C27" s="51" t="s">
        <v>114</v>
      </c>
      <c r="D27" s="51">
        <v>2</v>
      </c>
      <c r="E27" s="51" t="s">
        <v>335</v>
      </c>
      <c r="F27" s="51"/>
      <c r="G27" s="51" t="s">
        <v>334</v>
      </c>
      <c r="H27" s="51">
        <v>0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</row>
    <row r="28" spans="1:41" x14ac:dyDescent="0.3">
      <c r="A28" s="51">
        <v>9</v>
      </c>
      <c r="B28" s="51" t="s">
        <v>113</v>
      </c>
      <c r="C28" s="51" t="s">
        <v>114</v>
      </c>
      <c r="D28" s="51">
        <v>3</v>
      </c>
      <c r="E28" s="51" t="s">
        <v>339</v>
      </c>
      <c r="F28" s="51"/>
      <c r="G28" s="51" t="s">
        <v>334</v>
      </c>
      <c r="H28" s="51">
        <v>0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</row>
    <row r="29" spans="1:41" x14ac:dyDescent="0.3">
      <c r="A29" s="2">
        <v>10</v>
      </c>
      <c r="B29" s="2" t="s">
        <v>115</v>
      </c>
      <c r="C29" s="2" t="s">
        <v>116</v>
      </c>
      <c r="D29" s="2">
        <v>1</v>
      </c>
      <c r="E29" s="2" t="s">
        <v>333</v>
      </c>
      <c r="F29" s="2"/>
      <c r="G29" s="2" t="s">
        <v>334</v>
      </c>
      <c r="H29" s="2">
        <v>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3">
      <c r="A30" s="2">
        <v>10</v>
      </c>
      <c r="B30" s="2" t="s">
        <v>115</v>
      </c>
      <c r="C30" s="2" t="s">
        <v>116</v>
      </c>
      <c r="D30" s="2">
        <v>2</v>
      </c>
      <c r="E30" s="2" t="s">
        <v>335</v>
      </c>
      <c r="F30" s="2"/>
      <c r="G30" s="2" t="s">
        <v>334</v>
      </c>
      <c r="H30" s="2">
        <v>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3">
      <c r="A31" s="2">
        <v>10</v>
      </c>
      <c r="B31" s="2" t="s">
        <v>115</v>
      </c>
      <c r="C31" s="2" t="s">
        <v>116</v>
      </c>
      <c r="D31" s="2">
        <v>3</v>
      </c>
      <c r="E31" s="2" t="s">
        <v>339</v>
      </c>
      <c r="F31" s="2"/>
      <c r="G31" s="2" t="s">
        <v>334</v>
      </c>
      <c r="H31" s="2">
        <v>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3">
      <c r="A32" s="51">
        <v>11</v>
      </c>
      <c r="B32" s="51" t="s">
        <v>117</v>
      </c>
      <c r="C32" s="51" t="s">
        <v>118</v>
      </c>
      <c r="D32" s="51">
        <v>1</v>
      </c>
      <c r="E32" s="51" t="s">
        <v>333</v>
      </c>
      <c r="F32" s="51"/>
      <c r="G32" s="51" t="s">
        <v>334</v>
      </c>
      <c r="H32" s="51">
        <v>0</v>
      </c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spans="1:41" x14ac:dyDescent="0.3">
      <c r="A33" s="51">
        <v>11</v>
      </c>
      <c r="B33" s="51" t="s">
        <v>117</v>
      </c>
      <c r="C33" s="51" t="s">
        <v>118</v>
      </c>
      <c r="D33" s="51">
        <v>2</v>
      </c>
      <c r="E33" s="51" t="s">
        <v>335</v>
      </c>
      <c r="F33" s="51"/>
      <c r="G33" s="51" t="s">
        <v>334</v>
      </c>
      <c r="H33" s="51">
        <v>0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</row>
    <row r="34" spans="1:41" x14ac:dyDescent="0.3">
      <c r="A34" s="51">
        <v>11</v>
      </c>
      <c r="B34" s="51" t="s">
        <v>117</v>
      </c>
      <c r="C34" s="51" t="s">
        <v>118</v>
      </c>
      <c r="D34" s="51">
        <v>3</v>
      </c>
      <c r="E34" s="51" t="s">
        <v>339</v>
      </c>
      <c r="F34" s="51"/>
      <c r="G34" s="51" t="s">
        <v>334</v>
      </c>
      <c r="H34" s="51">
        <v>0</v>
      </c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</row>
    <row r="35" spans="1:41" x14ac:dyDescent="0.3">
      <c r="A35" s="2">
        <v>12</v>
      </c>
      <c r="B35" s="2" t="s">
        <v>119</v>
      </c>
      <c r="C35" s="2" t="s">
        <v>120</v>
      </c>
      <c r="D35" s="2">
        <v>1</v>
      </c>
      <c r="E35" s="2" t="s">
        <v>333</v>
      </c>
      <c r="F35" s="2"/>
      <c r="G35" s="2" t="s">
        <v>334</v>
      </c>
      <c r="H35" s="2"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3">
      <c r="A36" s="2">
        <v>12</v>
      </c>
      <c r="B36" s="2" t="s">
        <v>119</v>
      </c>
      <c r="C36" s="2" t="s">
        <v>120</v>
      </c>
      <c r="D36" s="2">
        <v>2</v>
      </c>
      <c r="E36" s="2" t="s">
        <v>335</v>
      </c>
      <c r="F36" s="2"/>
      <c r="G36" s="2" t="s">
        <v>334</v>
      </c>
      <c r="H36" s="2">
        <v>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3">
      <c r="A37" s="2">
        <v>12</v>
      </c>
      <c r="B37" s="2" t="s">
        <v>119</v>
      </c>
      <c r="C37" s="2" t="s">
        <v>120</v>
      </c>
      <c r="D37" s="2">
        <v>3</v>
      </c>
      <c r="E37" s="2" t="s">
        <v>339</v>
      </c>
      <c r="F37" s="2"/>
      <c r="G37" s="2" t="s">
        <v>334</v>
      </c>
      <c r="H37" s="2">
        <v>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3">
      <c r="A38" s="51">
        <v>13</v>
      </c>
      <c r="B38" s="51" t="s">
        <v>121</v>
      </c>
      <c r="C38" s="51" t="s">
        <v>122</v>
      </c>
      <c r="D38" s="51">
        <v>1</v>
      </c>
      <c r="E38" s="51" t="s">
        <v>333</v>
      </c>
      <c r="F38" s="51"/>
      <c r="G38" s="51" t="s">
        <v>334</v>
      </c>
      <c r="H38" s="51">
        <v>0</v>
      </c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spans="1:41" x14ac:dyDescent="0.3">
      <c r="A39" s="51">
        <v>13</v>
      </c>
      <c r="B39" s="51" t="s">
        <v>121</v>
      </c>
      <c r="C39" s="51" t="s">
        <v>122</v>
      </c>
      <c r="D39" s="51">
        <v>2</v>
      </c>
      <c r="E39" s="51" t="s">
        <v>335</v>
      </c>
      <c r="F39" s="51"/>
      <c r="G39" s="51" t="s">
        <v>334</v>
      </c>
      <c r="H39" s="51">
        <v>0</v>
      </c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</row>
    <row r="40" spans="1:41" x14ac:dyDescent="0.3">
      <c r="A40" s="51">
        <v>13</v>
      </c>
      <c r="B40" s="51" t="s">
        <v>121</v>
      </c>
      <c r="C40" s="51" t="s">
        <v>122</v>
      </c>
      <c r="D40" s="51">
        <v>3</v>
      </c>
      <c r="E40" s="51" t="s">
        <v>339</v>
      </c>
      <c r="F40" s="51"/>
      <c r="G40" s="51" t="s">
        <v>334</v>
      </c>
      <c r="H40" s="51">
        <v>0</v>
      </c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</row>
    <row r="41" spans="1:41" x14ac:dyDescent="0.3">
      <c r="A41" s="2">
        <v>14</v>
      </c>
      <c r="B41" s="2" t="s">
        <v>369</v>
      </c>
      <c r="C41" s="2" t="s">
        <v>370</v>
      </c>
      <c r="D41" s="2">
        <v>1</v>
      </c>
      <c r="E41" s="2" t="s">
        <v>333</v>
      </c>
      <c r="F41" s="2"/>
      <c r="G41" s="2" t="s">
        <v>334</v>
      </c>
      <c r="H41" s="2">
        <v>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3">
      <c r="A42" s="2">
        <v>14</v>
      </c>
      <c r="B42" s="2" t="s">
        <v>369</v>
      </c>
      <c r="C42" s="2" t="s">
        <v>370</v>
      </c>
      <c r="D42" s="2">
        <v>2</v>
      </c>
      <c r="E42" s="2" t="s">
        <v>335</v>
      </c>
      <c r="F42" s="2"/>
      <c r="G42" s="2" t="s">
        <v>334</v>
      </c>
      <c r="H42" s="2">
        <v>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3">
      <c r="A43" s="2">
        <v>14</v>
      </c>
      <c r="B43" s="2" t="s">
        <v>369</v>
      </c>
      <c r="C43" s="2" t="s">
        <v>370</v>
      </c>
      <c r="D43" s="2">
        <v>3</v>
      </c>
      <c r="E43" s="2" t="s">
        <v>339</v>
      </c>
      <c r="F43" s="2"/>
      <c r="G43" s="2" t="s">
        <v>334</v>
      </c>
      <c r="H43" s="2">
        <v>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3">
      <c r="A44" s="51">
        <v>15</v>
      </c>
      <c r="B44" s="51" t="s">
        <v>371</v>
      </c>
      <c r="C44" s="51" t="s">
        <v>372</v>
      </c>
      <c r="D44" s="51">
        <v>1</v>
      </c>
      <c r="E44" s="51" t="s">
        <v>333</v>
      </c>
      <c r="F44" s="51"/>
      <c r="G44" s="51" t="s">
        <v>334</v>
      </c>
      <c r="H44" s="51">
        <v>0</v>
      </c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</row>
    <row r="45" spans="1:41" x14ac:dyDescent="0.3">
      <c r="A45" s="51">
        <v>15</v>
      </c>
      <c r="B45" s="51" t="s">
        <v>371</v>
      </c>
      <c r="C45" s="51" t="s">
        <v>372</v>
      </c>
      <c r="D45" s="51">
        <v>2</v>
      </c>
      <c r="E45" s="51" t="s">
        <v>335</v>
      </c>
      <c r="F45" s="51"/>
      <c r="G45" s="51" t="s">
        <v>334</v>
      </c>
      <c r="H45" s="51">
        <v>0</v>
      </c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</row>
    <row r="46" spans="1:41" x14ac:dyDescent="0.3">
      <c r="A46" s="51">
        <v>15</v>
      </c>
      <c r="B46" s="51" t="s">
        <v>371</v>
      </c>
      <c r="C46" s="51" t="s">
        <v>372</v>
      </c>
      <c r="D46" s="51">
        <v>3</v>
      </c>
      <c r="E46" s="51" t="s">
        <v>339</v>
      </c>
      <c r="F46" s="51"/>
      <c r="G46" s="51" t="s">
        <v>334</v>
      </c>
      <c r="H46" s="51">
        <v>0</v>
      </c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</row>
    <row r="47" spans="1:41" x14ac:dyDescent="0.3">
      <c r="A47" s="2">
        <v>16</v>
      </c>
      <c r="B47" s="2" t="s">
        <v>127</v>
      </c>
      <c r="C47" s="2" t="s">
        <v>128</v>
      </c>
      <c r="D47" s="2">
        <v>1</v>
      </c>
      <c r="E47" s="2" t="s">
        <v>333</v>
      </c>
      <c r="F47" s="2"/>
      <c r="G47" s="2" t="s">
        <v>334</v>
      </c>
      <c r="H47" s="2">
        <v>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3">
      <c r="A48" s="2">
        <v>16</v>
      </c>
      <c r="B48" s="2" t="s">
        <v>127</v>
      </c>
      <c r="C48" s="2" t="s">
        <v>128</v>
      </c>
      <c r="D48" s="2">
        <v>2</v>
      </c>
      <c r="E48" s="2" t="s">
        <v>335</v>
      </c>
      <c r="F48" s="2"/>
      <c r="G48" s="2" t="s">
        <v>334</v>
      </c>
      <c r="H48" s="2">
        <v>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3">
      <c r="A49" s="2">
        <v>16</v>
      </c>
      <c r="B49" s="2" t="s">
        <v>127</v>
      </c>
      <c r="C49" s="2" t="s">
        <v>128</v>
      </c>
      <c r="D49" s="2">
        <v>3</v>
      </c>
      <c r="E49" s="2" t="s">
        <v>339</v>
      </c>
      <c r="F49" s="2"/>
      <c r="G49" s="2" t="s">
        <v>334</v>
      </c>
      <c r="H49" s="2">
        <v>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3">
      <c r="A50" s="51">
        <v>17</v>
      </c>
      <c r="B50" s="51" t="s">
        <v>129</v>
      </c>
      <c r="C50" s="51" t="s">
        <v>130</v>
      </c>
      <c r="D50" s="51">
        <v>1</v>
      </c>
      <c r="E50" s="51" t="s">
        <v>333</v>
      </c>
      <c r="F50" s="51"/>
      <c r="G50" s="51" t="s">
        <v>334</v>
      </c>
      <c r="H50" s="51">
        <v>0</v>
      </c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</row>
    <row r="51" spans="1:41" x14ac:dyDescent="0.3">
      <c r="A51" s="51">
        <v>17</v>
      </c>
      <c r="B51" s="51" t="s">
        <v>129</v>
      </c>
      <c r="C51" s="51" t="s">
        <v>130</v>
      </c>
      <c r="D51" s="51">
        <v>2</v>
      </c>
      <c r="E51" s="51" t="s">
        <v>335</v>
      </c>
      <c r="F51" s="51"/>
      <c r="G51" s="51" t="s">
        <v>334</v>
      </c>
      <c r="H51" s="51">
        <v>0</v>
      </c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</row>
    <row r="52" spans="1:41" x14ac:dyDescent="0.3">
      <c r="A52" s="51">
        <v>17</v>
      </c>
      <c r="B52" s="51" t="s">
        <v>129</v>
      </c>
      <c r="C52" s="51" t="s">
        <v>130</v>
      </c>
      <c r="D52" s="51">
        <v>3</v>
      </c>
      <c r="E52" s="51" t="s">
        <v>339</v>
      </c>
      <c r="F52" s="51"/>
      <c r="G52" s="51" t="s">
        <v>334</v>
      </c>
      <c r="H52" s="51">
        <v>0</v>
      </c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</row>
    <row r="53" spans="1:41" x14ac:dyDescent="0.3">
      <c r="A53" s="2">
        <v>18</v>
      </c>
      <c r="B53" s="2" t="s">
        <v>133</v>
      </c>
      <c r="C53" s="2" t="s">
        <v>134</v>
      </c>
      <c r="D53" s="2">
        <v>1</v>
      </c>
      <c r="E53" s="2" t="s">
        <v>333</v>
      </c>
      <c r="F53" s="2"/>
      <c r="G53" s="2" t="s">
        <v>334</v>
      </c>
      <c r="H53" s="2">
        <v>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3">
      <c r="A54" s="2">
        <v>18</v>
      </c>
      <c r="B54" s="2" t="s">
        <v>133</v>
      </c>
      <c r="C54" s="2" t="s">
        <v>134</v>
      </c>
      <c r="D54" s="2">
        <v>2</v>
      </c>
      <c r="E54" s="2" t="s">
        <v>335</v>
      </c>
      <c r="F54" s="2"/>
      <c r="G54" s="2" t="s">
        <v>334</v>
      </c>
      <c r="H54" s="2"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3">
      <c r="A55" s="2">
        <v>18</v>
      </c>
      <c r="B55" s="2" t="s">
        <v>133</v>
      </c>
      <c r="C55" s="2" t="s">
        <v>134</v>
      </c>
      <c r="D55" s="2">
        <v>3</v>
      </c>
      <c r="E55" s="2" t="s">
        <v>339</v>
      </c>
      <c r="F55" s="2"/>
      <c r="G55" s="2" t="s">
        <v>334</v>
      </c>
      <c r="H55" s="2">
        <v>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3">
      <c r="A56" s="51">
        <v>19</v>
      </c>
      <c r="B56" s="51" t="s">
        <v>373</v>
      </c>
      <c r="C56" s="51" t="s">
        <v>374</v>
      </c>
      <c r="D56" s="51">
        <v>1</v>
      </c>
      <c r="E56" s="51" t="s">
        <v>333</v>
      </c>
      <c r="F56" s="51"/>
      <c r="G56" s="51" t="s">
        <v>334</v>
      </c>
      <c r="H56" s="51">
        <v>0</v>
      </c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</row>
    <row r="57" spans="1:41" x14ac:dyDescent="0.3">
      <c r="A57" s="51">
        <v>19</v>
      </c>
      <c r="B57" s="51" t="s">
        <v>373</v>
      </c>
      <c r="C57" s="51" t="s">
        <v>374</v>
      </c>
      <c r="D57" s="51">
        <v>2</v>
      </c>
      <c r="E57" s="51" t="s">
        <v>335</v>
      </c>
      <c r="F57" s="51"/>
      <c r="G57" s="51" t="s">
        <v>334</v>
      </c>
      <c r="H57" s="51">
        <v>0</v>
      </c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</row>
    <row r="58" spans="1:41" x14ac:dyDescent="0.3">
      <c r="A58" s="51">
        <v>19</v>
      </c>
      <c r="B58" s="51" t="s">
        <v>373</v>
      </c>
      <c r="C58" s="51" t="s">
        <v>374</v>
      </c>
      <c r="D58" s="51">
        <v>3</v>
      </c>
      <c r="E58" s="51" t="s">
        <v>339</v>
      </c>
      <c r="F58" s="51"/>
      <c r="G58" s="51" t="s">
        <v>334</v>
      </c>
      <c r="H58" s="51">
        <v>0</v>
      </c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</row>
    <row r="59" spans="1:41" x14ac:dyDescent="0.3">
      <c r="A59" s="2">
        <v>20</v>
      </c>
      <c r="B59" s="2" t="s">
        <v>137</v>
      </c>
      <c r="C59" s="2" t="s">
        <v>138</v>
      </c>
      <c r="D59" s="2">
        <v>1</v>
      </c>
      <c r="E59" s="2" t="s">
        <v>333</v>
      </c>
      <c r="F59" s="2"/>
      <c r="G59" s="2" t="s">
        <v>334</v>
      </c>
      <c r="H59" s="2">
        <v>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3">
      <c r="A60" s="2">
        <v>20</v>
      </c>
      <c r="B60" s="2" t="s">
        <v>137</v>
      </c>
      <c r="C60" s="2" t="s">
        <v>138</v>
      </c>
      <c r="D60" s="2">
        <v>2</v>
      </c>
      <c r="E60" s="2" t="s">
        <v>335</v>
      </c>
      <c r="F60" s="2"/>
      <c r="G60" s="2" t="s">
        <v>334</v>
      </c>
      <c r="H60" s="2">
        <v>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3">
      <c r="A61" s="2">
        <v>20</v>
      </c>
      <c r="B61" s="2" t="s">
        <v>137</v>
      </c>
      <c r="C61" s="2" t="s">
        <v>138</v>
      </c>
      <c r="D61" s="2">
        <v>3</v>
      </c>
      <c r="E61" s="2" t="s">
        <v>339</v>
      </c>
      <c r="F61" s="2"/>
      <c r="G61" s="2" t="s">
        <v>334</v>
      </c>
      <c r="H61" s="2">
        <v>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3">
      <c r="A62" s="51">
        <v>21</v>
      </c>
      <c r="B62" s="51" t="s">
        <v>139</v>
      </c>
      <c r="C62" s="51" t="s">
        <v>140</v>
      </c>
      <c r="D62" s="51">
        <v>1</v>
      </c>
      <c r="E62" s="51" t="s">
        <v>333</v>
      </c>
      <c r="F62" s="51"/>
      <c r="G62" s="51" t="s">
        <v>334</v>
      </c>
      <c r="H62" s="51">
        <v>0</v>
      </c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</row>
    <row r="63" spans="1:41" x14ac:dyDescent="0.3">
      <c r="A63" s="51">
        <v>21</v>
      </c>
      <c r="B63" s="51" t="s">
        <v>139</v>
      </c>
      <c r="C63" s="51" t="s">
        <v>140</v>
      </c>
      <c r="D63" s="51">
        <v>2</v>
      </c>
      <c r="E63" s="51" t="s">
        <v>335</v>
      </c>
      <c r="F63" s="51"/>
      <c r="G63" s="51" t="s">
        <v>334</v>
      </c>
      <c r="H63" s="51">
        <v>0</v>
      </c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</row>
    <row r="64" spans="1:41" x14ac:dyDescent="0.3">
      <c r="A64" s="51">
        <v>21</v>
      </c>
      <c r="B64" s="51" t="s">
        <v>139</v>
      </c>
      <c r="C64" s="51" t="s">
        <v>140</v>
      </c>
      <c r="D64" s="51">
        <v>3</v>
      </c>
      <c r="E64" s="51" t="s">
        <v>339</v>
      </c>
      <c r="F64" s="51"/>
      <c r="G64" s="51" t="s">
        <v>334</v>
      </c>
      <c r="H64" s="51">
        <v>0</v>
      </c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</row>
    <row r="65" spans="1:41" x14ac:dyDescent="0.3">
      <c r="A65" s="2">
        <v>22</v>
      </c>
      <c r="B65" s="2" t="s">
        <v>375</v>
      </c>
      <c r="C65" s="2" t="s">
        <v>376</v>
      </c>
      <c r="D65" s="2">
        <v>1</v>
      </c>
      <c r="E65" s="2" t="s">
        <v>333</v>
      </c>
      <c r="F65" s="2"/>
      <c r="G65" s="2" t="s">
        <v>334</v>
      </c>
      <c r="H65" s="2">
        <v>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3">
      <c r="A66" s="2">
        <v>22</v>
      </c>
      <c r="B66" s="2" t="s">
        <v>375</v>
      </c>
      <c r="C66" s="2" t="s">
        <v>376</v>
      </c>
      <c r="D66" s="2">
        <v>2</v>
      </c>
      <c r="E66" s="2" t="s">
        <v>335</v>
      </c>
      <c r="F66" s="2"/>
      <c r="G66" s="2" t="s">
        <v>334</v>
      </c>
      <c r="H66" s="2">
        <v>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3">
      <c r="A67" s="2">
        <v>22</v>
      </c>
      <c r="B67" s="2" t="s">
        <v>375</v>
      </c>
      <c r="C67" s="2" t="s">
        <v>376</v>
      </c>
      <c r="D67" s="2">
        <v>3</v>
      </c>
      <c r="E67" s="2" t="s">
        <v>339</v>
      </c>
      <c r="F67" s="2"/>
      <c r="G67" s="2" t="s">
        <v>334</v>
      </c>
      <c r="H67" s="2">
        <v>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3">
      <c r="A68" s="51">
        <v>23</v>
      </c>
      <c r="B68" s="51" t="s">
        <v>141</v>
      </c>
      <c r="C68" s="51" t="s">
        <v>142</v>
      </c>
      <c r="D68" s="51">
        <v>1</v>
      </c>
      <c r="E68" s="51" t="s">
        <v>333</v>
      </c>
      <c r="F68" s="51"/>
      <c r="G68" s="51" t="s">
        <v>334</v>
      </c>
      <c r="H68" s="51">
        <v>0</v>
      </c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</row>
    <row r="69" spans="1:41" x14ac:dyDescent="0.3">
      <c r="A69" s="51">
        <v>23</v>
      </c>
      <c r="B69" s="51" t="s">
        <v>141</v>
      </c>
      <c r="C69" s="51" t="s">
        <v>142</v>
      </c>
      <c r="D69" s="51">
        <v>2</v>
      </c>
      <c r="E69" s="51" t="s">
        <v>335</v>
      </c>
      <c r="F69" s="51"/>
      <c r="G69" s="51" t="s">
        <v>334</v>
      </c>
      <c r="H69" s="51">
        <v>0</v>
      </c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</row>
    <row r="70" spans="1:41" x14ac:dyDescent="0.3">
      <c r="A70" s="51">
        <v>23</v>
      </c>
      <c r="B70" s="51" t="s">
        <v>141</v>
      </c>
      <c r="C70" s="51" t="s">
        <v>142</v>
      </c>
      <c r="D70" s="51">
        <v>3</v>
      </c>
      <c r="E70" s="51" t="s">
        <v>339</v>
      </c>
      <c r="F70" s="51"/>
      <c r="G70" s="51" t="s">
        <v>334</v>
      </c>
      <c r="H70" s="51">
        <v>0</v>
      </c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</row>
    <row r="71" spans="1:41" x14ac:dyDescent="0.3">
      <c r="A71" s="2">
        <v>24</v>
      </c>
      <c r="B71" s="2" t="s">
        <v>377</v>
      </c>
      <c r="C71" s="2" t="s">
        <v>378</v>
      </c>
      <c r="D71" s="2">
        <v>1</v>
      </c>
      <c r="E71" s="2" t="s">
        <v>333</v>
      </c>
      <c r="F71" s="2"/>
      <c r="G71" s="2" t="s">
        <v>334</v>
      </c>
      <c r="H71" s="2">
        <v>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3">
      <c r="A72" s="2">
        <v>24</v>
      </c>
      <c r="B72" s="2" t="s">
        <v>377</v>
      </c>
      <c r="C72" s="2" t="s">
        <v>378</v>
      </c>
      <c r="D72" s="2">
        <v>2</v>
      </c>
      <c r="E72" s="2" t="s">
        <v>335</v>
      </c>
      <c r="F72" s="2"/>
      <c r="G72" s="2" t="s">
        <v>334</v>
      </c>
      <c r="H72" s="2">
        <v>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3">
      <c r="A73" s="2">
        <v>24</v>
      </c>
      <c r="B73" s="2" t="s">
        <v>377</v>
      </c>
      <c r="C73" s="2" t="s">
        <v>378</v>
      </c>
      <c r="D73" s="2">
        <v>3</v>
      </c>
      <c r="E73" s="2" t="s">
        <v>339</v>
      </c>
      <c r="F73" s="2"/>
      <c r="G73" s="2" t="s">
        <v>334</v>
      </c>
      <c r="H73" s="2">
        <v>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3">
      <c r="A74" s="51">
        <v>25</v>
      </c>
      <c r="B74" s="51" t="s">
        <v>379</v>
      </c>
      <c r="C74" s="51" t="s">
        <v>380</v>
      </c>
      <c r="D74" s="51">
        <v>1</v>
      </c>
      <c r="E74" s="51" t="s">
        <v>333</v>
      </c>
      <c r="F74" s="51"/>
      <c r="G74" s="51" t="s">
        <v>334</v>
      </c>
      <c r="H74" s="51">
        <v>0</v>
      </c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</row>
    <row r="75" spans="1:41" x14ac:dyDescent="0.3">
      <c r="A75" s="51">
        <v>25</v>
      </c>
      <c r="B75" s="51" t="s">
        <v>379</v>
      </c>
      <c r="C75" s="51" t="s">
        <v>380</v>
      </c>
      <c r="D75" s="51">
        <v>2</v>
      </c>
      <c r="E75" s="51" t="s">
        <v>335</v>
      </c>
      <c r="F75" s="51"/>
      <c r="G75" s="51" t="s">
        <v>334</v>
      </c>
      <c r="H75" s="51">
        <v>0</v>
      </c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</row>
    <row r="76" spans="1:41" x14ac:dyDescent="0.3">
      <c r="A76" s="51">
        <v>25</v>
      </c>
      <c r="B76" s="51" t="s">
        <v>379</v>
      </c>
      <c r="C76" s="51" t="s">
        <v>380</v>
      </c>
      <c r="D76" s="51">
        <v>3</v>
      </c>
      <c r="E76" s="51" t="s">
        <v>339</v>
      </c>
      <c r="F76" s="51"/>
      <c r="G76" s="51" t="s">
        <v>334</v>
      </c>
      <c r="H76" s="51">
        <v>0</v>
      </c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</row>
    <row r="77" spans="1:41" x14ac:dyDescent="0.3">
      <c r="A77" s="2">
        <v>26</v>
      </c>
      <c r="B77" s="2" t="s">
        <v>381</v>
      </c>
      <c r="C77" s="2" t="s">
        <v>382</v>
      </c>
      <c r="D77" s="2">
        <v>1</v>
      </c>
      <c r="E77" s="2" t="s">
        <v>333</v>
      </c>
      <c r="F77" s="2"/>
      <c r="G77" s="2" t="s">
        <v>334</v>
      </c>
      <c r="H77" s="2">
        <v>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3">
      <c r="A78" s="2">
        <v>26</v>
      </c>
      <c r="B78" s="2" t="s">
        <v>381</v>
      </c>
      <c r="C78" s="2" t="s">
        <v>382</v>
      </c>
      <c r="D78" s="2">
        <v>2</v>
      </c>
      <c r="E78" s="2" t="s">
        <v>335</v>
      </c>
      <c r="F78" s="2"/>
      <c r="G78" s="2" t="s">
        <v>334</v>
      </c>
      <c r="H78" s="2">
        <v>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3">
      <c r="A79" s="2">
        <v>26</v>
      </c>
      <c r="B79" s="2" t="s">
        <v>381</v>
      </c>
      <c r="C79" s="2" t="s">
        <v>382</v>
      </c>
      <c r="D79" s="2">
        <v>3</v>
      </c>
      <c r="E79" s="2" t="s">
        <v>339</v>
      </c>
      <c r="F79" s="2"/>
      <c r="G79" s="2" t="s">
        <v>334</v>
      </c>
      <c r="H79" s="2">
        <v>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3">
      <c r="A80" s="51">
        <v>27</v>
      </c>
      <c r="B80" s="51" t="s">
        <v>383</v>
      </c>
      <c r="C80" s="51" t="s">
        <v>384</v>
      </c>
      <c r="D80" s="51">
        <v>1</v>
      </c>
      <c r="E80" s="51" t="s">
        <v>333</v>
      </c>
      <c r="F80" s="51"/>
      <c r="G80" s="51" t="s">
        <v>334</v>
      </c>
      <c r="H80" s="51">
        <v>0</v>
      </c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</row>
    <row r="81" spans="1:41" x14ac:dyDescent="0.3">
      <c r="A81" s="51">
        <v>27</v>
      </c>
      <c r="B81" s="51" t="s">
        <v>383</v>
      </c>
      <c r="C81" s="51" t="s">
        <v>384</v>
      </c>
      <c r="D81" s="51">
        <v>2</v>
      </c>
      <c r="E81" s="51" t="s">
        <v>335</v>
      </c>
      <c r="F81" s="51"/>
      <c r="G81" s="51" t="s">
        <v>334</v>
      </c>
      <c r="H81" s="51">
        <v>0</v>
      </c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</row>
    <row r="82" spans="1:41" x14ac:dyDescent="0.3">
      <c r="A82" s="51">
        <v>27</v>
      </c>
      <c r="B82" s="51" t="s">
        <v>383</v>
      </c>
      <c r="C82" s="51" t="s">
        <v>384</v>
      </c>
      <c r="D82" s="51">
        <v>3</v>
      </c>
      <c r="E82" s="51" t="s">
        <v>339</v>
      </c>
      <c r="F82" s="51"/>
      <c r="G82" s="51" t="s">
        <v>334</v>
      </c>
      <c r="H82" s="51">
        <v>0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</row>
    <row r="83" spans="1:41" x14ac:dyDescent="0.3">
      <c r="A83" s="2">
        <v>28</v>
      </c>
      <c r="B83" s="2" t="s">
        <v>151</v>
      </c>
      <c r="C83" s="2" t="s">
        <v>152</v>
      </c>
      <c r="D83" s="2">
        <v>1</v>
      </c>
      <c r="E83" s="2" t="s">
        <v>333</v>
      </c>
      <c r="F83" s="2"/>
      <c r="G83" s="2" t="s">
        <v>334</v>
      </c>
      <c r="H83" s="2">
        <v>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3">
      <c r="A84" s="2">
        <v>28</v>
      </c>
      <c r="B84" s="2" t="s">
        <v>151</v>
      </c>
      <c r="C84" s="2" t="s">
        <v>152</v>
      </c>
      <c r="D84" s="2">
        <v>2</v>
      </c>
      <c r="E84" s="2" t="s">
        <v>335</v>
      </c>
      <c r="F84" s="2"/>
      <c r="G84" s="2" t="s">
        <v>334</v>
      </c>
      <c r="H84" s="2">
        <v>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3">
      <c r="A85" s="2">
        <v>28</v>
      </c>
      <c r="B85" s="2" t="s">
        <v>151</v>
      </c>
      <c r="C85" s="2" t="s">
        <v>152</v>
      </c>
      <c r="D85" s="2">
        <v>3</v>
      </c>
      <c r="E85" s="2" t="s">
        <v>339</v>
      </c>
      <c r="F85" s="2"/>
      <c r="G85" s="2" t="s">
        <v>334</v>
      </c>
      <c r="H85" s="2">
        <v>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3">
      <c r="A86" s="51">
        <v>29</v>
      </c>
      <c r="B86" s="51" t="s">
        <v>153</v>
      </c>
      <c r="C86" s="51" t="s">
        <v>154</v>
      </c>
      <c r="D86" s="51">
        <v>1</v>
      </c>
      <c r="E86" s="51" t="s">
        <v>333</v>
      </c>
      <c r="F86" s="51"/>
      <c r="G86" s="51" t="s">
        <v>334</v>
      </c>
      <c r="H86" s="51">
        <v>0</v>
      </c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</row>
    <row r="87" spans="1:41" x14ac:dyDescent="0.3">
      <c r="A87" s="51">
        <v>29</v>
      </c>
      <c r="B87" s="51" t="s">
        <v>153</v>
      </c>
      <c r="C87" s="51" t="s">
        <v>154</v>
      </c>
      <c r="D87" s="51">
        <v>2</v>
      </c>
      <c r="E87" s="51" t="s">
        <v>335</v>
      </c>
      <c r="F87" s="51"/>
      <c r="G87" s="51" t="s">
        <v>334</v>
      </c>
      <c r="H87" s="51">
        <v>0</v>
      </c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</row>
    <row r="88" spans="1:41" x14ac:dyDescent="0.3">
      <c r="A88" s="51">
        <v>29</v>
      </c>
      <c r="B88" s="51" t="s">
        <v>153</v>
      </c>
      <c r="C88" s="51" t="s">
        <v>154</v>
      </c>
      <c r="D88" s="51">
        <v>3</v>
      </c>
      <c r="E88" s="51" t="s">
        <v>339</v>
      </c>
      <c r="F88" s="51"/>
      <c r="G88" s="51" t="s">
        <v>334</v>
      </c>
      <c r="H88" s="51">
        <v>0</v>
      </c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</row>
    <row r="89" spans="1:41" x14ac:dyDescent="0.3">
      <c r="A89" s="2">
        <v>30</v>
      </c>
      <c r="B89" s="2" t="s">
        <v>385</v>
      </c>
      <c r="C89" s="2" t="s">
        <v>386</v>
      </c>
      <c r="D89" s="2">
        <v>1</v>
      </c>
      <c r="E89" s="2" t="s">
        <v>333</v>
      </c>
      <c r="F89" s="2"/>
      <c r="G89" s="2" t="s">
        <v>334</v>
      </c>
      <c r="H89" s="2">
        <v>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3">
      <c r="A90" s="2">
        <v>30</v>
      </c>
      <c r="B90" s="2" t="s">
        <v>385</v>
      </c>
      <c r="C90" s="2" t="s">
        <v>386</v>
      </c>
      <c r="D90" s="2">
        <v>2</v>
      </c>
      <c r="E90" s="2" t="s">
        <v>335</v>
      </c>
      <c r="F90" s="2"/>
      <c r="G90" s="2" t="s">
        <v>334</v>
      </c>
      <c r="H90" s="2">
        <v>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3">
      <c r="A91" s="2">
        <v>30</v>
      </c>
      <c r="B91" s="2" t="s">
        <v>385</v>
      </c>
      <c r="C91" s="2" t="s">
        <v>386</v>
      </c>
      <c r="D91" s="2">
        <v>3</v>
      </c>
      <c r="E91" s="2" t="s">
        <v>339</v>
      </c>
      <c r="F91" s="2"/>
      <c r="G91" s="2" t="s">
        <v>334</v>
      </c>
      <c r="H91" s="2">
        <v>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3">
      <c r="A92" s="51">
        <v>31</v>
      </c>
      <c r="B92" s="51" t="s">
        <v>157</v>
      </c>
      <c r="C92" s="51" t="s">
        <v>158</v>
      </c>
      <c r="D92" s="51">
        <v>1</v>
      </c>
      <c r="E92" s="51" t="s">
        <v>333</v>
      </c>
      <c r="F92" s="51"/>
      <c r="G92" s="51" t="s">
        <v>334</v>
      </c>
      <c r="H92" s="51">
        <v>0</v>
      </c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</row>
    <row r="93" spans="1:41" x14ac:dyDescent="0.3">
      <c r="A93" s="51">
        <v>31</v>
      </c>
      <c r="B93" s="51" t="s">
        <v>157</v>
      </c>
      <c r="C93" s="51" t="s">
        <v>158</v>
      </c>
      <c r="D93" s="51">
        <v>2</v>
      </c>
      <c r="E93" s="51" t="s">
        <v>335</v>
      </c>
      <c r="F93" s="51"/>
      <c r="G93" s="51" t="s">
        <v>334</v>
      </c>
      <c r="H93" s="51">
        <v>0</v>
      </c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</row>
    <row r="94" spans="1:41" x14ac:dyDescent="0.3">
      <c r="A94" s="51">
        <v>31</v>
      </c>
      <c r="B94" s="51" t="s">
        <v>157</v>
      </c>
      <c r="C94" s="51" t="s">
        <v>158</v>
      </c>
      <c r="D94" s="51">
        <v>3</v>
      </c>
      <c r="E94" s="51" t="s">
        <v>339</v>
      </c>
      <c r="F94" s="51"/>
      <c r="G94" s="51" t="s">
        <v>334</v>
      </c>
      <c r="H94" s="51">
        <v>0</v>
      </c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</row>
    <row r="95" spans="1:41" x14ac:dyDescent="0.3">
      <c r="A95" s="2">
        <v>32</v>
      </c>
      <c r="B95" s="2" t="s">
        <v>387</v>
      </c>
      <c r="C95" s="2" t="s">
        <v>388</v>
      </c>
      <c r="D95" s="2">
        <v>1</v>
      </c>
      <c r="E95" s="2" t="s">
        <v>333</v>
      </c>
      <c r="F95" s="2"/>
      <c r="G95" s="2" t="s">
        <v>334</v>
      </c>
      <c r="H95" s="2">
        <v>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3">
      <c r="A96" s="2">
        <v>32</v>
      </c>
      <c r="B96" s="2" t="s">
        <v>387</v>
      </c>
      <c r="C96" s="2" t="s">
        <v>388</v>
      </c>
      <c r="D96" s="2">
        <v>2</v>
      </c>
      <c r="E96" s="2" t="s">
        <v>335</v>
      </c>
      <c r="F96" s="2"/>
      <c r="G96" s="2" t="s">
        <v>334</v>
      </c>
      <c r="H96" s="2">
        <v>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3">
      <c r="A97" s="2">
        <v>32</v>
      </c>
      <c r="B97" s="2" t="s">
        <v>387</v>
      </c>
      <c r="C97" s="2" t="s">
        <v>388</v>
      </c>
      <c r="D97" s="2">
        <v>3</v>
      </c>
      <c r="E97" s="2" t="s">
        <v>339</v>
      </c>
      <c r="F97" s="2"/>
      <c r="G97" s="2" t="s">
        <v>334</v>
      </c>
      <c r="H97" s="2">
        <v>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3">
      <c r="A98" s="51">
        <v>33</v>
      </c>
      <c r="B98" s="51" t="s">
        <v>161</v>
      </c>
      <c r="C98" s="51" t="s">
        <v>162</v>
      </c>
      <c r="D98" s="51">
        <v>1</v>
      </c>
      <c r="E98" s="51" t="s">
        <v>333</v>
      </c>
      <c r="F98" s="51"/>
      <c r="G98" s="51" t="s">
        <v>334</v>
      </c>
      <c r="H98" s="51">
        <v>0</v>
      </c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</row>
    <row r="99" spans="1:41" x14ac:dyDescent="0.3">
      <c r="A99" s="51">
        <v>33</v>
      </c>
      <c r="B99" s="51" t="s">
        <v>161</v>
      </c>
      <c r="C99" s="51" t="s">
        <v>162</v>
      </c>
      <c r="D99" s="51">
        <v>2</v>
      </c>
      <c r="E99" s="51" t="s">
        <v>335</v>
      </c>
      <c r="F99" s="51"/>
      <c r="G99" s="51" t="s">
        <v>334</v>
      </c>
      <c r="H99" s="51">
        <v>0</v>
      </c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</row>
    <row r="100" spans="1:41" x14ac:dyDescent="0.3">
      <c r="A100" s="51">
        <v>33</v>
      </c>
      <c r="B100" s="51" t="s">
        <v>161</v>
      </c>
      <c r="C100" s="51" t="s">
        <v>162</v>
      </c>
      <c r="D100" s="51">
        <v>3</v>
      </c>
      <c r="E100" s="51" t="s">
        <v>339</v>
      </c>
      <c r="F100" s="51"/>
      <c r="G100" s="51" t="s">
        <v>334</v>
      </c>
      <c r="H100" s="51">
        <v>0</v>
      </c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</row>
    <row r="101" spans="1:41" x14ac:dyDescent="0.3">
      <c r="A101" s="2">
        <v>34</v>
      </c>
      <c r="B101" s="2" t="s">
        <v>163</v>
      </c>
      <c r="C101" s="2" t="s">
        <v>164</v>
      </c>
      <c r="D101" s="2">
        <v>1</v>
      </c>
      <c r="E101" s="2" t="s">
        <v>333</v>
      </c>
      <c r="F101" s="2"/>
      <c r="G101" s="2" t="s">
        <v>334</v>
      </c>
      <c r="H101" s="2">
        <v>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3">
      <c r="A102" s="2">
        <v>34</v>
      </c>
      <c r="B102" s="2" t="s">
        <v>163</v>
      </c>
      <c r="C102" s="2" t="s">
        <v>164</v>
      </c>
      <c r="D102" s="2">
        <v>2</v>
      </c>
      <c r="E102" s="2" t="s">
        <v>335</v>
      </c>
      <c r="F102" s="2"/>
      <c r="G102" s="2" t="s">
        <v>334</v>
      </c>
      <c r="H102" s="2">
        <v>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3">
      <c r="A103" s="2">
        <v>34</v>
      </c>
      <c r="B103" s="2" t="s">
        <v>163</v>
      </c>
      <c r="C103" s="2" t="s">
        <v>164</v>
      </c>
      <c r="D103" s="2">
        <v>3</v>
      </c>
      <c r="E103" s="2" t="s">
        <v>339</v>
      </c>
      <c r="F103" s="2"/>
      <c r="G103" s="2" t="s">
        <v>334</v>
      </c>
      <c r="H103" s="2">
        <v>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3">
      <c r="A104" s="51">
        <v>35</v>
      </c>
      <c r="B104" s="51" t="s">
        <v>389</v>
      </c>
      <c r="C104" s="51" t="s">
        <v>390</v>
      </c>
      <c r="D104" s="51">
        <v>1</v>
      </c>
      <c r="E104" s="51" t="s">
        <v>333</v>
      </c>
      <c r="F104" s="51"/>
      <c r="G104" s="51" t="s">
        <v>334</v>
      </c>
      <c r="H104" s="51">
        <v>0</v>
      </c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</row>
    <row r="105" spans="1:41" x14ac:dyDescent="0.3">
      <c r="A105" s="51">
        <v>35</v>
      </c>
      <c r="B105" s="51" t="s">
        <v>389</v>
      </c>
      <c r="C105" s="51" t="s">
        <v>390</v>
      </c>
      <c r="D105" s="51">
        <v>2</v>
      </c>
      <c r="E105" s="51" t="s">
        <v>335</v>
      </c>
      <c r="F105" s="51"/>
      <c r="G105" s="51" t="s">
        <v>334</v>
      </c>
      <c r="H105" s="51">
        <v>0</v>
      </c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</row>
    <row r="106" spans="1:41" x14ac:dyDescent="0.3">
      <c r="A106" s="51">
        <v>35</v>
      </c>
      <c r="B106" s="51" t="s">
        <v>389</v>
      </c>
      <c r="C106" s="51" t="s">
        <v>390</v>
      </c>
      <c r="D106" s="51">
        <v>3</v>
      </c>
      <c r="E106" s="51" t="s">
        <v>339</v>
      </c>
      <c r="F106" s="51"/>
      <c r="G106" s="51" t="s">
        <v>334</v>
      </c>
      <c r="H106" s="51">
        <v>0</v>
      </c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</row>
  </sheetData>
  <autoFilter ref="A1:AO10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2F64-C758-4D6F-9FFA-5D1DF3090423}">
  <dimension ref="A1:AN3"/>
  <sheetViews>
    <sheetView workbookViewId="0">
      <selection activeCell="C1" sqref="C1"/>
    </sheetView>
  </sheetViews>
  <sheetFormatPr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4.332031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40" x14ac:dyDescent="0.3">
      <c r="A1" s="9" t="s">
        <v>355</v>
      </c>
      <c r="B1" s="9" t="s">
        <v>2</v>
      </c>
      <c r="C1" s="9" t="s">
        <v>3</v>
      </c>
      <c r="D1" s="9" t="s">
        <v>356</v>
      </c>
      <c r="E1" s="9" t="s">
        <v>5</v>
      </c>
      <c r="F1" s="9" t="s">
        <v>6</v>
      </c>
      <c r="G1" s="1" t="s">
        <v>331</v>
      </c>
      <c r="H1" s="9">
        <v>2018</v>
      </c>
      <c r="I1" s="9">
        <v>2019</v>
      </c>
      <c r="J1" s="9">
        <v>2020</v>
      </c>
      <c r="K1" s="9">
        <v>2021</v>
      </c>
      <c r="L1" s="9">
        <v>2022</v>
      </c>
      <c r="M1" s="9">
        <v>2023</v>
      </c>
      <c r="N1" s="9">
        <v>2024</v>
      </c>
      <c r="O1" s="9">
        <v>2025</v>
      </c>
      <c r="P1" s="9">
        <v>2026</v>
      </c>
      <c r="Q1" s="9">
        <v>2027</v>
      </c>
      <c r="R1" s="9">
        <v>2028</v>
      </c>
      <c r="S1" s="9">
        <v>2029</v>
      </c>
      <c r="T1" s="9">
        <v>2030</v>
      </c>
      <c r="U1" s="9">
        <v>2031</v>
      </c>
      <c r="V1" s="9">
        <v>2032</v>
      </c>
      <c r="W1" s="9">
        <v>2033</v>
      </c>
      <c r="X1" s="9">
        <v>2034</v>
      </c>
      <c r="Y1" s="9">
        <v>2035</v>
      </c>
      <c r="Z1" s="9">
        <v>2036</v>
      </c>
      <c r="AA1" s="9">
        <v>2037</v>
      </c>
      <c r="AB1" s="9">
        <v>2038</v>
      </c>
      <c r="AC1" s="9">
        <v>2039</v>
      </c>
      <c r="AD1" s="9">
        <v>2040</v>
      </c>
      <c r="AE1" s="9">
        <v>2041</v>
      </c>
      <c r="AF1" s="9">
        <v>2042</v>
      </c>
      <c r="AG1" s="9">
        <v>2043</v>
      </c>
      <c r="AH1" s="9">
        <v>2044</v>
      </c>
      <c r="AI1" s="9">
        <v>2045</v>
      </c>
      <c r="AJ1" s="9">
        <v>2046</v>
      </c>
      <c r="AK1" s="9">
        <v>2047</v>
      </c>
      <c r="AL1" s="9">
        <v>2048</v>
      </c>
      <c r="AM1" s="9">
        <v>2049</v>
      </c>
      <c r="AN1" s="9">
        <v>2050</v>
      </c>
    </row>
    <row r="2" spans="1:40" x14ac:dyDescent="0.3">
      <c r="A2" s="5" t="s">
        <v>357</v>
      </c>
      <c r="B2" s="5" t="s">
        <v>358</v>
      </c>
      <c r="C2" s="5" t="s">
        <v>359</v>
      </c>
      <c r="D2" s="5" t="s">
        <v>360</v>
      </c>
      <c r="E2" s="5" t="s">
        <v>361</v>
      </c>
      <c r="F2" s="5"/>
      <c r="G2" s="5" t="s">
        <v>350</v>
      </c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3">
      <c r="A3" s="5" t="s">
        <v>357</v>
      </c>
      <c r="B3" s="5" t="s">
        <v>362</v>
      </c>
      <c r="C3" s="5" t="s">
        <v>363</v>
      </c>
      <c r="D3" s="5" t="s">
        <v>364</v>
      </c>
      <c r="E3" s="5" t="s">
        <v>365</v>
      </c>
      <c r="F3" s="5" t="s">
        <v>366</v>
      </c>
      <c r="G3" s="5" t="s">
        <v>338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226"/>
  <sheetViews>
    <sheetView topLeftCell="A214" zoomScale="130" zoomScaleNormal="130" workbookViewId="0">
      <selection activeCell="A222" sqref="A222:AP226"/>
    </sheetView>
  </sheetViews>
  <sheetFormatPr defaultColWidth="8.88671875" defaultRowHeight="14.4" x14ac:dyDescent="0.3"/>
  <cols>
    <col min="1" max="1" width="13.5546875" bestFit="1" customWidth="1"/>
    <col min="2" max="2" width="13.6640625" bestFit="1" customWidth="1"/>
    <col min="3" max="3" width="26.88671875" bestFit="1" customWidth="1"/>
    <col min="4" max="4" width="19" customWidth="1"/>
    <col min="5" max="5" width="41.6640625" customWidth="1"/>
    <col min="6" max="6" width="20.44140625" customWidth="1"/>
    <col min="7" max="7" width="16.33203125" hidden="1" customWidth="1"/>
    <col min="8" max="8" width="33.44140625" customWidth="1"/>
    <col min="9" max="9" width="22.33203125" customWidth="1"/>
    <col min="10" max="42" width="13.33203125" bestFit="1" customWidth="1"/>
  </cols>
  <sheetData>
    <row r="1" spans="1:4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0" t="s">
        <v>391</v>
      </c>
      <c r="G1" s="1" t="s">
        <v>6</v>
      </c>
      <c r="H1" s="1" t="s">
        <v>331</v>
      </c>
      <c r="I1" s="68" t="s">
        <v>332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5" x14ac:dyDescent="0.3">
      <c r="A2" s="4">
        <v>1</v>
      </c>
      <c r="B2" s="4" t="s">
        <v>217</v>
      </c>
      <c r="C2" s="4" t="s">
        <v>218</v>
      </c>
      <c r="D2" s="4">
        <v>1</v>
      </c>
      <c r="E2" s="25" t="s">
        <v>333</v>
      </c>
      <c r="F2" s="21" t="s">
        <v>392</v>
      </c>
      <c r="G2" s="26" t="s">
        <v>393</v>
      </c>
      <c r="H2" s="27" t="s">
        <v>350</v>
      </c>
      <c r="I2" s="69">
        <v>0</v>
      </c>
      <c r="J2" s="72">
        <v>11525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5" x14ac:dyDescent="0.3">
      <c r="A3" s="4">
        <v>1</v>
      </c>
      <c r="B3" s="4" t="s">
        <v>217</v>
      </c>
      <c r="C3" s="4" t="s">
        <v>218</v>
      </c>
      <c r="D3" s="4">
        <v>2</v>
      </c>
      <c r="E3" s="25" t="s">
        <v>335</v>
      </c>
      <c r="F3" s="21" t="s">
        <v>394</v>
      </c>
      <c r="G3" s="26" t="s">
        <v>394</v>
      </c>
      <c r="H3" s="27" t="s">
        <v>350</v>
      </c>
      <c r="I3" s="69">
        <v>0</v>
      </c>
      <c r="J3" s="72">
        <v>61.65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5" x14ac:dyDescent="0.3">
      <c r="A4" s="4">
        <v>1</v>
      </c>
      <c r="B4" s="4" t="s">
        <v>217</v>
      </c>
      <c r="C4" s="4" t="s">
        <v>218</v>
      </c>
      <c r="D4" s="4">
        <v>3</v>
      </c>
      <c r="E4" s="29" t="s">
        <v>339</v>
      </c>
      <c r="F4" s="22" t="s">
        <v>395</v>
      </c>
      <c r="G4" s="26" t="s">
        <v>396</v>
      </c>
      <c r="H4" s="27" t="s">
        <v>338</v>
      </c>
      <c r="I4" s="69">
        <v>0</v>
      </c>
      <c r="J4" s="72">
        <v>44062.5</v>
      </c>
      <c r="K4" s="67">
        <v>42520.3125</v>
      </c>
      <c r="L4" s="67">
        <v>41032.1015625</v>
      </c>
      <c r="M4" s="67">
        <v>39595.978007812497</v>
      </c>
      <c r="N4" s="67">
        <v>38210.118777539057</v>
      </c>
      <c r="O4" s="67">
        <v>36872.764620325186</v>
      </c>
      <c r="P4" s="67">
        <v>35582.217858613803</v>
      </c>
      <c r="Q4" s="67">
        <v>34336.840233562318</v>
      </c>
      <c r="R4" s="67">
        <v>33135.050825387632</v>
      </c>
      <c r="S4" s="67">
        <v>31975.324046499063</v>
      </c>
      <c r="T4" s="67">
        <v>30856.187704871594</v>
      </c>
      <c r="U4" s="67">
        <v>29776.221135201089</v>
      </c>
      <c r="V4" s="67">
        <v>28734.053395469051</v>
      </c>
      <c r="W4" s="67">
        <v>27728.361526627632</v>
      </c>
      <c r="X4" s="67">
        <v>26757.868873195664</v>
      </c>
      <c r="Y4" s="67">
        <v>25821.343462633817</v>
      </c>
      <c r="Z4" s="67">
        <v>24917.596441441634</v>
      </c>
      <c r="AA4" s="67">
        <v>24045.480565991176</v>
      </c>
      <c r="AB4" s="67">
        <v>23203.888746181485</v>
      </c>
      <c r="AC4" s="67">
        <v>22391.752640065133</v>
      </c>
      <c r="AD4" s="67">
        <v>21608.041297662854</v>
      </c>
      <c r="AE4" s="67">
        <v>20203.518613314769</v>
      </c>
      <c r="AF4" s="67">
        <v>18284.184345049864</v>
      </c>
      <c r="AG4" s="67">
        <v>15815.81945846813</v>
      </c>
      <c r="AH4" s="67">
        <v>13680.68383157493</v>
      </c>
      <c r="AI4" s="67">
        <v>11833.791514312314</v>
      </c>
      <c r="AJ4" s="67">
        <v>10236.229659880149</v>
      </c>
      <c r="AK4" s="67">
        <v>8854.3386557963277</v>
      </c>
      <c r="AL4" s="67">
        <v>7659.0029372638228</v>
      </c>
      <c r="AM4" s="67">
        <v>5935.7272763794617</v>
      </c>
      <c r="AN4" s="67">
        <v>3709.829547737163</v>
      </c>
      <c r="AO4" s="67">
        <v>1576.6775577882938</v>
      </c>
      <c r="AP4" s="67">
        <v>0</v>
      </c>
    </row>
    <row r="5" spans="1:45" x14ac:dyDescent="0.3">
      <c r="A5" s="4">
        <v>1</v>
      </c>
      <c r="B5" s="4" t="s">
        <v>217</v>
      </c>
      <c r="C5" s="4" t="s">
        <v>218</v>
      </c>
      <c r="D5" s="4">
        <v>4</v>
      </c>
      <c r="E5" s="29" t="s">
        <v>340</v>
      </c>
      <c r="F5" s="22" t="s">
        <v>354</v>
      </c>
      <c r="G5" s="30"/>
      <c r="H5" s="31" t="s">
        <v>334</v>
      </c>
      <c r="I5" s="29">
        <v>0</v>
      </c>
      <c r="J5" s="73" t="s">
        <v>354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5" x14ac:dyDescent="0.3">
      <c r="A6" s="4">
        <v>1</v>
      </c>
      <c r="B6" s="4" t="s">
        <v>217</v>
      </c>
      <c r="C6" s="4" t="s">
        <v>218</v>
      </c>
      <c r="D6" s="4">
        <v>5</v>
      </c>
      <c r="E6" s="29" t="s">
        <v>343</v>
      </c>
      <c r="F6" s="7" t="s">
        <v>354</v>
      </c>
      <c r="G6" s="30"/>
      <c r="H6" s="31" t="s">
        <v>334</v>
      </c>
      <c r="I6" s="29">
        <v>0</v>
      </c>
      <c r="J6" s="73" t="s">
        <v>354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5" x14ac:dyDescent="0.3">
      <c r="A7" s="32">
        <v>2</v>
      </c>
      <c r="B7" s="32" t="s">
        <v>219</v>
      </c>
      <c r="C7" s="32" t="s">
        <v>220</v>
      </c>
      <c r="D7" s="32">
        <v>1</v>
      </c>
      <c r="E7" s="33" t="s">
        <v>333</v>
      </c>
      <c r="F7" s="13" t="s">
        <v>392</v>
      </c>
      <c r="G7" s="34" t="s">
        <v>393</v>
      </c>
      <c r="H7" s="35" t="s">
        <v>350</v>
      </c>
      <c r="I7" s="33">
        <v>0</v>
      </c>
      <c r="J7" s="74">
        <v>10504.496300000001</v>
      </c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5" x14ac:dyDescent="0.3">
      <c r="A8" s="32">
        <v>2</v>
      </c>
      <c r="B8" s="32" t="s">
        <v>219</v>
      </c>
      <c r="C8" s="32" t="s">
        <v>220</v>
      </c>
      <c r="D8" s="32">
        <v>2</v>
      </c>
      <c r="E8" s="33" t="s">
        <v>335</v>
      </c>
      <c r="F8" s="13" t="s">
        <v>394</v>
      </c>
      <c r="G8" s="34" t="s">
        <v>394</v>
      </c>
      <c r="H8" s="35" t="s">
        <v>338</v>
      </c>
      <c r="I8" s="33">
        <v>0</v>
      </c>
      <c r="J8" s="74">
        <v>49.32</v>
      </c>
      <c r="K8" s="67">
        <v>49.32</v>
      </c>
      <c r="L8" s="67">
        <v>49.32</v>
      </c>
      <c r="M8" s="67">
        <v>49.32</v>
      </c>
      <c r="N8" s="67">
        <v>49.32</v>
      </c>
      <c r="O8" s="67">
        <v>49.32</v>
      </c>
      <c r="P8" s="67">
        <v>49.32</v>
      </c>
      <c r="Q8" s="67">
        <v>49.32</v>
      </c>
      <c r="R8" s="67">
        <v>49.32</v>
      </c>
      <c r="S8" s="67">
        <v>49.32</v>
      </c>
      <c r="T8" s="67">
        <v>49.32</v>
      </c>
      <c r="U8" s="67">
        <v>49.32</v>
      </c>
      <c r="V8" s="67">
        <v>49.32</v>
      </c>
      <c r="W8" s="67">
        <v>49.32</v>
      </c>
      <c r="X8" s="67">
        <v>49.32</v>
      </c>
      <c r="Y8" s="67">
        <v>49.32</v>
      </c>
      <c r="Z8" s="67">
        <v>49.32</v>
      </c>
      <c r="AA8" s="67">
        <v>49.32</v>
      </c>
      <c r="AB8" s="67">
        <v>49.32</v>
      </c>
      <c r="AC8" s="67">
        <v>49.32</v>
      </c>
      <c r="AD8" s="67">
        <v>49.32</v>
      </c>
      <c r="AE8" s="67">
        <v>49.32</v>
      </c>
      <c r="AF8" s="67">
        <v>49.32</v>
      </c>
      <c r="AG8" s="67">
        <v>49.32</v>
      </c>
      <c r="AH8" s="67">
        <v>49.32</v>
      </c>
      <c r="AI8" s="67">
        <v>49.32</v>
      </c>
      <c r="AJ8" s="67">
        <v>49.32</v>
      </c>
      <c r="AK8" s="67">
        <v>49.32</v>
      </c>
      <c r="AL8" s="67">
        <v>49.32</v>
      </c>
      <c r="AM8" s="67">
        <v>49.32</v>
      </c>
      <c r="AN8" s="67">
        <v>49.32</v>
      </c>
      <c r="AO8" s="67">
        <v>49.32</v>
      </c>
      <c r="AP8" s="67">
        <v>49.32</v>
      </c>
    </row>
    <row r="9" spans="1:45" x14ac:dyDescent="0.3">
      <c r="A9" s="32">
        <v>2</v>
      </c>
      <c r="B9" s="32" t="s">
        <v>219</v>
      </c>
      <c r="C9" s="32" t="s">
        <v>220</v>
      </c>
      <c r="D9" s="32">
        <v>3</v>
      </c>
      <c r="E9" s="33" t="s">
        <v>339</v>
      </c>
      <c r="F9" s="13" t="s">
        <v>395</v>
      </c>
      <c r="G9" s="34" t="s">
        <v>396</v>
      </c>
      <c r="H9" s="35" t="s">
        <v>338</v>
      </c>
      <c r="I9" s="33">
        <v>0</v>
      </c>
      <c r="J9" s="74">
        <v>616875</v>
      </c>
      <c r="K9" s="67">
        <v>595284.375</v>
      </c>
      <c r="L9" s="67">
        <v>574449.421875</v>
      </c>
      <c r="M9" s="67">
        <v>554343.69210937503</v>
      </c>
      <c r="N9" s="67">
        <v>534941.66288554692</v>
      </c>
      <c r="O9" s="67">
        <v>516218.70468455274</v>
      </c>
      <c r="P9" s="67">
        <v>498151.05002059339</v>
      </c>
      <c r="Q9" s="67">
        <v>480715.76326987264</v>
      </c>
      <c r="R9" s="67">
        <v>463890.71155542706</v>
      </c>
      <c r="S9" s="67">
        <v>447654.53665098711</v>
      </c>
      <c r="T9" s="67">
        <v>431986.62786820257</v>
      </c>
      <c r="U9" s="67">
        <v>416867.09589281544</v>
      </c>
      <c r="V9" s="67">
        <v>402276.74753656687</v>
      </c>
      <c r="W9" s="67">
        <v>388197.06137278699</v>
      </c>
      <c r="X9" s="67">
        <v>374610.16422473942</v>
      </c>
      <c r="Y9" s="67">
        <v>361498.80847687356</v>
      </c>
      <c r="Z9" s="67">
        <v>348846.35018018296</v>
      </c>
      <c r="AA9" s="67">
        <v>336636.72792387655</v>
      </c>
      <c r="AB9" s="67">
        <v>324854.44244654087</v>
      </c>
      <c r="AC9" s="67">
        <v>313484.53696091194</v>
      </c>
      <c r="AD9" s="67">
        <v>302512.57816728001</v>
      </c>
      <c r="AE9" s="67">
        <v>282849.2605864068</v>
      </c>
      <c r="AF9" s="67">
        <v>255978.58083069813</v>
      </c>
      <c r="AG9" s="67">
        <v>221421.47241855387</v>
      </c>
      <c r="AH9" s="67">
        <v>191529.57364204907</v>
      </c>
      <c r="AI9" s="67">
        <v>165673.08120037243</v>
      </c>
      <c r="AJ9" s="67">
        <v>143307.21523832213</v>
      </c>
      <c r="AK9" s="67">
        <v>123960.74118114862</v>
      </c>
      <c r="AL9" s="67">
        <v>107226.04112169355</v>
      </c>
      <c r="AM9" s="67">
        <v>83100.181869312495</v>
      </c>
      <c r="AN9" s="67">
        <v>51937.6136683203</v>
      </c>
      <c r="AO9" s="67">
        <v>22073.485809036123</v>
      </c>
      <c r="AP9" s="67">
        <v>0</v>
      </c>
      <c r="AR9" s="36"/>
      <c r="AS9" s="36"/>
    </row>
    <row r="10" spans="1:45" x14ac:dyDescent="0.3">
      <c r="A10" s="32">
        <v>2</v>
      </c>
      <c r="B10" s="32" t="s">
        <v>219</v>
      </c>
      <c r="C10" s="32" t="s">
        <v>220</v>
      </c>
      <c r="D10" s="32">
        <v>4</v>
      </c>
      <c r="E10" s="33" t="s">
        <v>340</v>
      </c>
      <c r="F10" s="13" t="s">
        <v>354</v>
      </c>
      <c r="G10" s="34"/>
      <c r="H10" s="32" t="s">
        <v>334</v>
      </c>
      <c r="I10" s="33">
        <v>0</v>
      </c>
      <c r="J10" s="74" t="s">
        <v>354</v>
      </c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5" x14ac:dyDescent="0.3">
      <c r="A11" s="32">
        <v>2</v>
      </c>
      <c r="B11" s="32" t="s">
        <v>219</v>
      </c>
      <c r="C11" s="32" t="s">
        <v>220</v>
      </c>
      <c r="D11" s="32">
        <v>5</v>
      </c>
      <c r="E11" s="33" t="s">
        <v>343</v>
      </c>
      <c r="F11" s="13" t="s">
        <v>354</v>
      </c>
      <c r="G11" s="34"/>
      <c r="H11" s="32" t="s">
        <v>334</v>
      </c>
      <c r="I11" s="33">
        <v>0</v>
      </c>
      <c r="J11" s="74" t="s">
        <v>354</v>
      </c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5" x14ac:dyDescent="0.3">
      <c r="A12" s="4">
        <v>3</v>
      </c>
      <c r="B12" s="4" t="s">
        <v>221</v>
      </c>
      <c r="C12" s="4" t="s">
        <v>222</v>
      </c>
      <c r="D12" s="4">
        <v>1</v>
      </c>
      <c r="E12" s="25" t="s">
        <v>333</v>
      </c>
      <c r="F12" s="37" t="s">
        <v>397</v>
      </c>
      <c r="G12" s="26" t="s">
        <v>393</v>
      </c>
      <c r="H12" s="28" t="s">
        <v>350</v>
      </c>
      <c r="I12" s="69">
        <v>0</v>
      </c>
      <c r="J12" s="72">
        <v>1.4</v>
      </c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5" x14ac:dyDescent="0.3">
      <c r="A13" s="4">
        <v>3</v>
      </c>
      <c r="B13" s="4" t="s">
        <v>221</v>
      </c>
      <c r="C13" s="4" t="s">
        <v>222</v>
      </c>
      <c r="D13" s="4">
        <v>2</v>
      </c>
      <c r="E13" s="25" t="s">
        <v>335</v>
      </c>
      <c r="F13" s="21" t="s">
        <v>394</v>
      </c>
      <c r="G13" s="26" t="s">
        <v>394</v>
      </c>
      <c r="H13" s="28" t="s">
        <v>350</v>
      </c>
      <c r="I13" s="69">
        <v>0</v>
      </c>
      <c r="J13" s="72">
        <v>61.65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5" x14ac:dyDescent="0.3">
      <c r="A14" s="4">
        <v>3</v>
      </c>
      <c r="B14" s="4" t="s">
        <v>221</v>
      </c>
      <c r="C14" s="4" t="s">
        <v>222</v>
      </c>
      <c r="D14" s="4">
        <v>3</v>
      </c>
      <c r="E14" s="29" t="s">
        <v>339</v>
      </c>
      <c r="F14" s="22" t="s">
        <v>395</v>
      </c>
      <c r="G14" s="30" t="s">
        <v>396</v>
      </c>
      <c r="H14" s="27" t="s">
        <v>338</v>
      </c>
      <c r="I14" s="29">
        <v>0</v>
      </c>
      <c r="J14" s="73">
        <v>193875</v>
      </c>
      <c r="K14" s="67">
        <v>187089.375</v>
      </c>
      <c r="L14" s="67">
        <v>180541.24687499998</v>
      </c>
      <c r="M14" s="67">
        <v>174222.30323437497</v>
      </c>
      <c r="N14" s="67">
        <v>168124.52262117184</v>
      </c>
      <c r="O14" s="67">
        <v>162240.16432943082</v>
      </c>
      <c r="P14" s="67">
        <v>156561.75857790073</v>
      </c>
      <c r="Q14" s="67">
        <v>151082.0970276742</v>
      </c>
      <c r="R14" s="67">
        <v>145794.22363170559</v>
      </c>
      <c r="S14" s="67">
        <v>140691.4258045959</v>
      </c>
      <c r="T14" s="67">
        <v>135767.22590143504</v>
      </c>
      <c r="U14" s="67">
        <v>131015.3729948848</v>
      </c>
      <c r="V14" s="67">
        <v>126429.83494006384</v>
      </c>
      <c r="W14" s="67">
        <v>122004.7907171616</v>
      </c>
      <c r="X14" s="67">
        <v>117734.62304206094</v>
      </c>
      <c r="Y14" s="67">
        <v>113613.91123558879</v>
      </c>
      <c r="Z14" s="67">
        <v>109637.42434234318</v>
      </c>
      <c r="AA14" s="67">
        <v>105800.11449036116</v>
      </c>
      <c r="AB14" s="67">
        <v>102097.11048319851</v>
      </c>
      <c r="AC14" s="67">
        <v>98523.711616286557</v>
      </c>
      <c r="AD14" s="67">
        <v>95075.38170971653</v>
      </c>
      <c r="AE14" s="67">
        <v>88895.481898584956</v>
      </c>
      <c r="AF14" s="67">
        <v>80450.411118219374</v>
      </c>
      <c r="AG14" s="67">
        <v>69589.605617259745</v>
      </c>
      <c r="AH14" s="67">
        <v>60195.008858929672</v>
      </c>
      <c r="AI14" s="67">
        <v>52068.682662974163</v>
      </c>
      <c r="AJ14" s="67">
        <v>45039.410503472645</v>
      </c>
      <c r="AK14" s="67">
        <v>38959.090085503834</v>
      </c>
      <c r="AL14" s="67">
        <v>33699.612923960813</v>
      </c>
      <c r="AM14" s="67">
        <v>26117.200016069626</v>
      </c>
      <c r="AN14" s="67">
        <v>16323.250010043514</v>
      </c>
      <c r="AO14" s="67">
        <v>6937.3812542684909</v>
      </c>
      <c r="AP14" s="67">
        <v>0</v>
      </c>
      <c r="AR14" s="36"/>
      <c r="AS14" s="36"/>
    </row>
    <row r="15" spans="1:45" x14ac:dyDescent="0.3">
      <c r="A15" s="4">
        <v>3</v>
      </c>
      <c r="B15" s="4" t="s">
        <v>221</v>
      </c>
      <c r="C15" s="4" t="s">
        <v>222</v>
      </c>
      <c r="D15" s="4">
        <v>4</v>
      </c>
      <c r="E15" s="29" t="s">
        <v>340</v>
      </c>
      <c r="F15" s="7" t="s">
        <v>354</v>
      </c>
      <c r="G15" s="30"/>
      <c r="H15" s="31" t="s">
        <v>334</v>
      </c>
      <c r="I15" s="29">
        <v>0</v>
      </c>
      <c r="J15" s="73" t="s">
        <v>354</v>
      </c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5" x14ac:dyDescent="0.3">
      <c r="A16" s="4">
        <v>3</v>
      </c>
      <c r="B16" s="4" t="s">
        <v>221</v>
      </c>
      <c r="C16" s="4" t="s">
        <v>222</v>
      </c>
      <c r="D16" s="4">
        <v>5</v>
      </c>
      <c r="E16" s="29" t="s">
        <v>343</v>
      </c>
      <c r="F16" s="7" t="s">
        <v>354</v>
      </c>
      <c r="G16" s="30"/>
      <c r="H16" s="31" t="s">
        <v>334</v>
      </c>
      <c r="I16" s="29">
        <v>0</v>
      </c>
      <c r="J16" s="73" t="s">
        <v>354</v>
      </c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x14ac:dyDescent="0.3">
      <c r="A17" s="32">
        <v>4</v>
      </c>
      <c r="B17" s="32" t="s">
        <v>223</v>
      </c>
      <c r="C17" s="32" t="s">
        <v>224</v>
      </c>
      <c r="D17" s="32">
        <v>1</v>
      </c>
      <c r="E17" s="33" t="s">
        <v>333</v>
      </c>
      <c r="F17" s="13" t="s">
        <v>392</v>
      </c>
      <c r="G17" s="34" t="s">
        <v>393</v>
      </c>
      <c r="H17" s="35" t="s">
        <v>398</v>
      </c>
      <c r="I17" s="33">
        <v>0</v>
      </c>
      <c r="J17" s="74">
        <v>30000</v>
      </c>
      <c r="K17" s="67">
        <v>0.94886180929846364</v>
      </c>
      <c r="L17" s="67">
        <v>0.89734926112393631</v>
      </c>
      <c r="M17" s="67">
        <v>0.86552887591969552</v>
      </c>
      <c r="N17" s="67">
        <v>0.83333413324246353</v>
      </c>
      <c r="O17" s="67">
        <v>0.80757545942780895</v>
      </c>
      <c r="P17" s="67">
        <v>0.78219594254092728</v>
      </c>
      <c r="Q17" s="67">
        <v>0.76287813704363183</v>
      </c>
      <c r="R17" s="67">
        <v>0.74356033154633627</v>
      </c>
      <c r="S17" s="67">
        <v>0.72424252604904071</v>
      </c>
      <c r="T17" s="67">
        <v>0.70530387747951828</v>
      </c>
      <c r="U17" s="67">
        <v>0.68598607198222272</v>
      </c>
      <c r="V17" s="67">
        <v>0.66666826648492727</v>
      </c>
      <c r="W17" s="67">
        <v>0.66515163877383532</v>
      </c>
      <c r="X17" s="67">
        <v>0.66363501106274325</v>
      </c>
      <c r="Y17" s="67">
        <v>0.6617440258786601</v>
      </c>
      <c r="Z17" s="67">
        <v>0.66022739816756815</v>
      </c>
      <c r="AA17" s="67">
        <v>0.65871077045647608</v>
      </c>
      <c r="AB17" s="67">
        <v>0.65719414274538401</v>
      </c>
      <c r="AC17" s="67">
        <v>0.65530315756130098</v>
      </c>
      <c r="AD17" s="67">
        <v>0.65378652985020902</v>
      </c>
      <c r="AE17" s="67">
        <v>0.65226990213911695</v>
      </c>
      <c r="AF17" s="67">
        <v>0.65075807388280693</v>
      </c>
      <c r="AG17" s="67">
        <v>0.64924144617171486</v>
      </c>
      <c r="AH17" s="67">
        <v>0.64734566153284978</v>
      </c>
      <c r="AI17" s="67">
        <v>0.64583383327653976</v>
      </c>
      <c r="AJ17" s="67">
        <v>0.64431720556544769</v>
      </c>
      <c r="AK17" s="67">
        <v>0.64280057785435563</v>
      </c>
      <c r="AL17" s="67">
        <v>0.6409095926702727</v>
      </c>
      <c r="AM17" s="67">
        <v>0.63939296495918063</v>
      </c>
      <c r="AN17" s="67">
        <v>0.63787633724808857</v>
      </c>
      <c r="AO17" s="67">
        <v>0.63636450899177854</v>
      </c>
      <c r="AP17" s="67">
        <v>0.63446872435291346</v>
      </c>
    </row>
    <row r="18" spans="1:42" x14ac:dyDescent="0.3">
      <c r="A18" s="32">
        <v>4</v>
      </c>
      <c r="B18" s="32" t="s">
        <v>223</v>
      </c>
      <c r="C18" s="32" t="s">
        <v>224</v>
      </c>
      <c r="D18" s="32">
        <v>2</v>
      </c>
      <c r="E18" s="33" t="s">
        <v>335</v>
      </c>
      <c r="F18" s="13" t="s">
        <v>394</v>
      </c>
      <c r="G18" s="34" t="s">
        <v>394</v>
      </c>
      <c r="H18" s="35" t="s">
        <v>338</v>
      </c>
      <c r="I18" s="33">
        <v>0</v>
      </c>
      <c r="J18" s="74">
        <v>16.275600000000001</v>
      </c>
      <c r="K18" s="67">
        <v>16.275600000000001</v>
      </c>
      <c r="L18" s="67">
        <v>16.275600000000001</v>
      </c>
      <c r="M18" s="67">
        <v>16.275600000000001</v>
      </c>
      <c r="N18" s="67">
        <v>16.275600000000001</v>
      </c>
      <c r="O18" s="67">
        <v>16.275600000000001</v>
      </c>
      <c r="P18" s="67">
        <v>16.275600000000001</v>
      </c>
      <c r="Q18" s="67">
        <v>16.275600000000001</v>
      </c>
      <c r="R18" s="67">
        <v>16.275600000000001</v>
      </c>
      <c r="S18" s="67">
        <v>16.275600000000001</v>
      </c>
      <c r="T18" s="67">
        <v>16.275600000000001</v>
      </c>
      <c r="U18" s="67">
        <v>16.275600000000001</v>
      </c>
      <c r="V18" s="67">
        <v>16.275600000000001</v>
      </c>
      <c r="W18" s="67">
        <v>16.275600000000001</v>
      </c>
      <c r="X18" s="67">
        <v>16.275600000000001</v>
      </c>
      <c r="Y18" s="67">
        <v>16.275600000000001</v>
      </c>
      <c r="Z18" s="67">
        <v>16.275600000000001</v>
      </c>
      <c r="AA18" s="67">
        <v>16.275600000000001</v>
      </c>
      <c r="AB18" s="67">
        <v>16.275600000000001</v>
      </c>
      <c r="AC18" s="67">
        <v>16.275600000000001</v>
      </c>
      <c r="AD18" s="67">
        <v>16.275600000000001</v>
      </c>
      <c r="AE18" s="67">
        <v>16.275600000000001</v>
      </c>
      <c r="AF18" s="67">
        <v>16.275600000000001</v>
      </c>
      <c r="AG18" s="67">
        <v>16.275600000000001</v>
      </c>
      <c r="AH18" s="67">
        <v>16.275600000000001</v>
      </c>
      <c r="AI18" s="67">
        <v>16.275600000000001</v>
      </c>
      <c r="AJ18" s="67">
        <v>16.275600000000001</v>
      </c>
      <c r="AK18" s="67">
        <v>16.275600000000001</v>
      </c>
      <c r="AL18" s="67">
        <v>16.275600000000001</v>
      </c>
      <c r="AM18" s="67">
        <v>16.275600000000001</v>
      </c>
      <c r="AN18" s="67">
        <v>16.275600000000001</v>
      </c>
      <c r="AO18" s="67">
        <v>16.275600000000001</v>
      </c>
      <c r="AP18" s="67">
        <v>16.275600000000001</v>
      </c>
    </row>
    <row r="19" spans="1:42" x14ac:dyDescent="0.3">
      <c r="A19" s="32">
        <v>4</v>
      </c>
      <c r="B19" s="32" t="s">
        <v>223</v>
      </c>
      <c r="C19" s="32" t="s">
        <v>224</v>
      </c>
      <c r="D19" s="32">
        <v>3</v>
      </c>
      <c r="E19" s="33" t="s">
        <v>339</v>
      </c>
      <c r="F19" s="13" t="s">
        <v>395</v>
      </c>
      <c r="G19" s="34" t="s">
        <v>396</v>
      </c>
      <c r="H19" s="35" t="s">
        <v>338</v>
      </c>
      <c r="I19" s="33">
        <v>0</v>
      </c>
      <c r="J19" s="74">
        <v>17625</v>
      </c>
      <c r="K19" s="67">
        <v>17008.125</v>
      </c>
      <c r="L19" s="67">
        <v>16412.840625000001</v>
      </c>
      <c r="M19" s="67">
        <v>15838.391203125</v>
      </c>
      <c r="N19" s="67">
        <v>15284.047511015624</v>
      </c>
      <c r="O19" s="67">
        <v>14749.105848130077</v>
      </c>
      <c r="P19" s="67">
        <v>14232.887143445523</v>
      </c>
      <c r="Q19" s="67">
        <v>13734.73609342493</v>
      </c>
      <c r="R19" s="67">
        <v>13254.020330155057</v>
      </c>
      <c r="S19" s="67">
        <v>12790.129618599631</v>
      </c>
      <c r="T19" s="67">
        <v>12342.475081948643</v>
      </c>
      <c r="U19" s="67">
        <v>11910.488454080441</v>
      </c>
      <c r="V19" s="67">
        <v>11493.621358187625</v>
      </c>
      <c r="W19" s="67">
        <v>11091.344610651058</v>
      </c>
      <c r="X19" s="67">
        <v>10703.14754927827</v>
      </c>
      <c r="Y19" s="67">
        <v>10328.537385053531</v>
      </c>
      <c r="Z19" s="67">
        <v>9967.0385765766569</v>
      </c>
      <c r="AA19" s="67">
        <v>9618.1922263964734</v>
      </c>
      <c r="AB19" s="67">
        <v>9281.5554984725968</v>
      </c>
      <c r="AC19" s="67">
        <v>8956.7010560260551</v>
      </c>
      <c r="AD19" s="67">
        <v>8643.2165190651431</v>
      </c>
      <c r="AE19" s="67">
        <v>8081.4074453259082</v>
      </c>
      <c r="AF19" s="67">
        <v>7313.6737380199465</v>
      </c>
      <c r="AG19" s="67">
        <v>6326.3277833872526</v>
      </c>
      <c r="AH19" s="67">
        <v>5472.2735326299726</v>
      </c>
      <c r="AI19" s="67">
        <v>4733.5166057249253</v>
      </c>
      <c r="AJ19" s="67">
        <v>4094.4918639520597</v>
      </c>
      <c r="AK19" s="67">
        <v>3541.7354623185311</v>
      </c>
      <c r="AL19" s="67">
        <v>3063.6011749055288</v>
      </c>
      <c r="AM19" s="67">
        <v>2374.2909105517847</v>
      </c>
      <c r="AN19" s="67">
        <v>1483.9318190948652</v>
      </c>
      <c r="AO19" s="67">
        <v>630.67102311531755</v>
      </c>
      <c r="AP19" s="67">
        <v>0</v>
      </c>
    </row>
    <row r="20" spans="1:42" x14ac:dyDescent="0.3">
      <c r="A20" s="32">
        <v>4</v>
      </c>
      <c r="B20" s="32" t="s">
        <v>223</v>
      </c>
      <c r="C20" s="32" t="s">
        <v>224</v>
      </c>
      <c r="D20" s="32">
        <v>4</v>
      </c>
      <c r="E20" s="33" t="s">
        <v>340</v>
      </c>
      <c r="F20" s="13" t="s">
        <v>354</v>
      </c>
      <c r="G20" s="34"/>
      <c r="H20" s="32" t="s">
        <v>334</v>
      </c>
      <c r="I20" s="33">
        <v>0</v>
      </c>
      <c r="J20" s="74" t="s">
        <v>354</v>
      </c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x14ac:dyDescent="0.3">
      <c r="A21" s="32">
        <v>4</v>
      </c>
      <c r="B21" s="32" t="s">
        <v>223</v>
      </c>
      <c r="C21" s="32" t="s">
        <v>224</v>
      </c>
      <c r="D21" s="32">
        <v>5</v>
      </c>
      <c r="E21" s="33" t="s">
        <v>343</v>
      </c>
      <c r="F21" s="13" t="s">
        <v>354</v>
      </c>
      <c r="G21" s="34"/>
      <c r="H21" s="32" t="s">
        <v>334</v>
      </c>
      <c r="I21" s="33">
        <v>0</v>
      </c>
      <c r="J21" s="74" t="s">
        <v>354</v>
      </c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x14ac:dyDescent="0.3">
      <c r="A22" s="4">
        <v>5</v>
      </c>
      <c r="B22" s="4" t="s">
        <v>225</v>
      </c>
      <c r="C22" s="4" t="s">
        <v>226</v>
      </c>
      <c r="D22" s="4">
        <v>1</v>
      </c>
      <c r="E22" s="29" t="s">
        <v>333</v>
      </c>
      <c r="F22" s="7" t="s">
        <v>399</v>
      </c>
      <c r="G22" s="30" t="s">
        <v>393</v>
      </c>
      <c r="H22" s="31" t="s">
        <v>398</v>
      </c>
      <c r="I22" s="29">
        <v>0</v>
      </c>
      <c r="J22" s="73">
        <v>1.02</v>
      </c>
      <c r="K22" s="67">
        <v>0.92915117705391093</v>
      </c>
      <c r="L22" s="67">
        <v>0.87870869501872861</v>
      </c>
      <c r="M22" s="67">
        <v>0.8475493121906974</v>
      </c>
      <c r="N22" s="67">
        <v>0.81602334838821866</v>
      </c>
      <c r="O22" s="67">
        <v>0.79079975749258624</v>
      </c>
      <c r="P22" s="67">
        <v>0.76594744732748365</v>
      </c>
      <c r="Q22" s="67">
        <v>0.74703092909477997</v>
      </c>
      <c r="R22" s="67">
        <v>0.72811441086207629</v>
      </c>
      <c r="S22" s="67">
        <v>0.70919789262937249</v>
      </c>
      <c r="T22" s="67">
        <v>0.69065265512719887</v>
      </c>
      <c r="U22" s="67">
        <v>0.67173613689449518</v>
      </c>
      <c r="V22" s="67">
        <v>0.65281961866179139</v>
      </c>
      <c r="W22" s="67">
        <v>0.65133449573967117</v>
      </c>
      <c r="X22" s="67">
        <v>0.64984937281755073</v>
      </c>
      <c r="Y22" s="67">
        <v>0.64799766892098298</v>
      </c>
      <c r="Z22" s="67">
        <v>0.64651254599886276</v>
      </c>
      <c r="AA22" s="67">
        <v>0.64502742307674232</v>
      </c>
      <c r="AB22" s="67">
        <v>0.64354230015462199</v>
      </c>
      <c r="AC22" s="67">
        <v>0.64169059625805414</v>
      </c>
      <c r="AD22" s="67">
        <v>0.64020547333593392</v>
      </c>
      <c r="AE22" s="67">
        <v>0.63872035041381348</v>
      </c>
      <c r="AF22" s="67">
        <v>0.63723992724777589</v>
      </c>
      <c r="AG22" s="67">
        <v>0.63575480432565545</v>
      </c>
      <c r="AH22" s="67">
        <v>0.63389840067300507</v>
      </c>
      <c r="AI22" s="67">
        <v>0.63241797750696749</v>
      </c>
      <c r="AJ22" s="67">
        <v>0.63093285458484705</v>
      </c>
      <c r="AK22" s="67">
        <v>0.62944773166272672</v>
      </c>
      <c r="AL22" s="67">
        <v>0.62759602776615897</v>
      </c>
      <c r="AM22" s="67">
        <v>0.62611090484403864</v>
      </c>
      <c r="AN22" s="67">
        <v>0.6246257819219182</v>
      </c>
      <c r="AO22" s="67">
        <v>0.62314535875588062</v>
      </c>
      <c r="AP22" s="67">
        <v>0.62128895510323012</v>
      </c>
    </row>
    <row r="23" spans="1:42" x14ac:dyDescent="0.3">
      <c r="A23" s="4">
        <v>5</v>
      </c>
      <c r="B23" s="4" t="s">
        <v>225</v>
      </c>
      <c r="C23" s="4" t="s">
        <v>226</v>
      </c>
      <c r="D23" s="4">
        <v>2</v>
      </c>
      <c r="E23" s="29" t="s">
        <v>335</v>
      </c>
      <c r="F23" s="7" t="s">
        <v>394</v>
      </c>
      <c r="G23" s="30" t="s">
        <v>394</v>
      </c>
      <c r="H23" s="31" t="s">
        <v>338</v>
      </c>
      <c r="I23" s="29">
        <v>0</v>
      </c>
      <c r="J23" s="73">
        <v>24.66</v>
      </c>
      <c r="K23" s="67">
        <v>24.66</v>
      </c>
      <c r="L23" s="67">
        <v>24.66</v>
      </c>
      <c r="M23" s="67">
        <v>24.66</v>
      </c>
      <c r="N23" s="67">
        <v>24.66</v>
      </c>
      <c r="O23" s="67">
        <v>24.66</v>
      </c>
      <c r="P23" s="67">
        <v>24.66</v>
      </c>
      <c r="Q23" s="67">
        <v>24.66</v>
      </c>
      <c r="R23" s="67">
        <v>24.66</v>
      </c>
      <c r="S23" s="67">
        <v>24.66</v>
      </c>
      <c r="T23" s="67">
        <v>24.66</v>
      </c>
      <c r="U23" s="67">
        <v>24.66</v>
      </c>
      <c r="V23" s="67">
        <v>24.66</v>
      </c>
      <c r="W23" s="67">
        <v>24.66</v>
      </c>
      <c r="X23" s="67">
        <v>24.66</v>
      </c>
      <c r="Y23" s="67">
        <v>24.66</v>
      </c>
      <c r="Z23" s="67">
        <v>24.66</v>
      </c>
      <c r="AA23" s="67">
        <v>24.66</v>
      </c>
      <c r="AB23" s="67">
        <v>24.66</v>
      </c>
      <c r="AC23" s="67">
        <v>24.66</v>
      </c>
      <c r="AD23" s="67">
        <v>24.66</v>
      </c>
      <c r="AE23" s="67">
        <v>24.66</v>
      </c>
      <c r="AF23" s="67">
        <v>24.66</v>
      </c>
      <c r="AG23" s="67">
        <v>24.66</v>
      </c>
      <c r="AH23" s="67">
        <v>24.66</v>
      </c>
      <c r="AI23" s="67">
        <v>24.66</v>
      </c>
      <c r="AJ23" s="67">
        <v>24.66</v>
      </c>
      <c r="AK23" s="67">
        <v>24.66</v>
      </c>
      <c r="AL23" s="67">
        <v>24.66</v>
      </c>
      <c r="AM23" s="67">
        <v>24.66</v>
      </c>
      <c r="AN23" s="67">
        <v>24.66</v>
      </c>
      <c r="AO23" s="67">
        <v>24.66</v>
      </c>
      <c r="AP23" s="67">
        <v>24.66</v>
      </c>
    </row>
    <row r="24" spans="1:42" x14ac:dyDescent="0.3">
      <c r="A24" s="4">
        <v>5</v>
      </c>
      <c r="B24" s="4" t="s">
        <v>225</v>
      </c>
      <c r="C24" s="4" t="s">
        <v>226</v>
      </c>
      <c r="D24" s="4">
        <v>3</v>
      </c>
      <c r="E24" s="29" t="s">
        <v>339</v>
      </c>
      <c r="F24" s="7" t="s">
        <v>395</v>
      </c>
      <c r="G24" s="30" t="s">
        <v>396</v>
      </c>
      <c r="H24" s="31" t="s">
        <v>334</v>
      </c>
      <c r="I24" s="29">
        <v>0</v>
      </c>
      <c r="J24" s="73" t="s">
        <v>354</v>
      </c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x14ac:dyDescent="0.3">
      <c r="A25" s="4">
        <v>5</v>
      </c>
      <c r="B25" s="4" t="s">
        <v>225</v>
      </c>
      <c r="C25" s="4" t="s">
        <v>226</v>
      </c>
      <c r="D25" s="4">
        <v>4</v>
      </c>
      <c r="E25" s="29" t="s">
        <v>340</v>
      </c>
      <c r="F25" s="7" t="s">
        <v>354</v>
      </c>
      <c r="G25" s="30"/>
      <c r="H25" s="31" t="s">
        <v>334</v>
      </c>
      <c r="I25" s="29">
        <v>0</v>
      </c>
      <c r="J25" s="73" t="s">
        <v>354</v>
      </c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6" spans="1:42" x14ac:dyDescent="0.3">
      <c r="A26" s="4">
        <v>5</v>
      </c>
      <c r="B26" s="4" t="s">
        <v>225</v>
      </c>
      <c r="C26" s="4" t="s">
        <v>226</v>
      </c>
      <c r="D26" s="4">
        <v>5</v>
      </c>
      <c r="E26" s="29" t="s">
        <v>343</v>
      </c>
      <c r="F26" s="7" t="s">
        <v>354</v>
      </c>
      <c r="G26" s="30"/>
      <c r="H26" s="31" t="s">
        <v>334</v>
      </c>
      <c r="I26" s="29">
        <v>0</v>
      </c>
      <c r="J26" s="73" t="s">
        <v>354</v>
      </c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</row>
    <row r="27" spans="1:42" x14ac:dyDescent="0.3">
      <c r="A27" s="32">
        <v>6</v>
      </c>
      <c r="B27" s="32" t="s">
        <v>227</v>
      </c>
      <c r="C27" s="32" t="s">
        <v>228</v>
      </c>
      <c r="D27" s="32">
        <v>1</v>
      </c>
      <c r="E27" s="33" t="s">
        <v>333</v>
      </c>
      <c r="F27" s="13" t="s">
        <v>392</v>
      </c>
      <c r="G27" s="34" t="s">
        <v>393</v>
      </c>
      <c r="H27" s="35" t="s">
        <v>350</v>
      </c>
      <c r="I27" s="33">
        <v>0</v>
      </c>
      <c r="J27" s="74">
        <v>10504.5</v>
      </c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</row>
    <row r="28" spans="1:42" x14ac:dyDescent="0.3">
      <c r="A28" s="32">
        <v>6</v>
      </c>
      <c r="B28" s="32" t="s">
        <v>227</v>
      </c>
      <c r="C28" s="32" t="s">
        <v>228</v>
      </c>
      <c r="D28" s="32">
        <v>2</v>
      </c>
      <c r="E28" s="33" t="s">
        <v>335</v>
      </c>
      <c r="F28" s="13" t="s">
        <v>394</v>
      </c>
      <c r="G28" s="34" t="s">
        <v>394</v>
      </c>
      <c r="H28" s="35" t="s">
        <v>338</v>
      </c>
      <c r="I28" s="33">
        <v>0</v>
      </c>
      <c r="J28" s="74">
        <v>49.32</v>
      </c>
      <c r="K28" s="67">
        <v>49.32</v>
      </c>
      <c r="L28" s="67">
        <v>49.32</v>
      </c>
      <c r="M28" s="67">
        <v>49.32</v>
      </c>
      <c r="N28" s="67">
        <v>49.32</v>
      </c>
      <c r="O28" s="67">
        <v>49.32</v>
      </c>
      <c r="P28" s="67">
        <v>49.32</v>
      </c>
      <c r="Q28" s="67">
        <v>49.32</v>
      </c>
      <c r="R28" s="67">
        <v>49.32</v>
      </c>
      <c r="S28" s="67">
        <v>49.32</v>
      </c>
      <c r="T28" s="67">
        <v>49.32</v>
      </c>
      <c r="U28" s="67">
        <v>49.32</v>
      </c>
      <c r="V28" s="67">
        <v>49.32</v>
      </c>
      <c r="W28" s="67">
        <v>49.32</v>
      </c>
      <c r="X28" s="67">
        <v>49.32</v>
      </c>
      <c r="Y28" s="67">
        <v>49.32</v>
      </c>
      <c r="Z28" s="67">
        <v>49.32</v>
      </c>
      <c r="AA28" s="67">
        <v>49.32</v>
      </c>
      <c r="AB28" s="67">
        <v>49.32</v>
      </c>
      <c r="AC28" s="67">
        <v>49.32</v>
      </c>
      <c r="AD28" s="67">
        <v>49.32</v>
      </c>
      <c r="AE28" s="67">
        <v>49.32</v>
      </c>
      <c r="AF28" s="67">
        <v>49.32</v>
      </c>
      <c r="AG28" s="67">
        <v>49.32</v>
      </c>
      <c r="AH28" s="67">
        <v>49.32</v>
      </c>
      <c r="AI28" s="67">
        <v>49.32</v>
      </c>
      <c r="AJ28" s="67">
        <v>49.32</v>
      </c>
      <c r="AK28" s="67">
        <v>49.32</v>
      </c>
      <c r="AL28" s="67">
        <v>49.32</v>
      </c>
      <c r="AM28" s="67">
        <v>49.32</v>
      </c>
      <c r="AN28" s="67">
        <v>49.32</v>
      </c>
      <c r="AO28" s="67">
        <v>49.32</v>
      </c>
      <c r="AP28" s="67">
        <v>49.32</v>
      </c>
    </row>
    <row r="29" spans="1:42" x14ac:dyDescent="0.3">
      <c r="A29" s="32">
        <v>6</v>
      </c>
      <c r="B29" s="32" t="s">
        <v>227</v>
      </c>
      <c r="C29" s="32" t="s">
        <v>228</v>
      </c>
      <c r="D29" s="32">
        <v>3</v>
      </c>
      <c r="E29" s="33" t="s">
        <v>339</v>
      </c>
      <c r="F29" s="13" t="s">
        <v>395</v>
      </c>
      <c r="G29" s="34" t="s">
        <v>396</v>
      </c>
      <c r="H29" s="35" t="s">
        <v>338</v>
      </c>
      <c r="I29" s="33">
        <v>0</v>
      </c>
      <c r="J29" s="74">
        <v>352.6</v>
      </c>
      <c r="K29" s="67">
        <v>340.25900000000001</v>
      </c>
      <c r="L29" s="67">
        <v>328.34993500000002</v>
      </c>
      <c r="M29" s="67">
        <v>316.85768727499999</v>
      </c>
      <c r="N29" s="67">
        <v>305.76766822037496</v>
      </c>
      <c r="O29" s="67">
        <v>295.06579983266181</v>
      </c>
      <c r="P29" s="67">
        <v>284.73849683851864</v>
      </c>
      <c r="Q29" s="67">
        <v>274.7726494491705</v>
      </c>
      <c r="R29" s="67">
        <v>265.15560671844952</v>
      </c>
      <c r="S29" s="67">
        <v>254.41680464635232</v>
      </c>
      <c r="T29" s="67">
        <v>242.71363163262012</v>
      </c>
      <c r="U29" s="67">
        <v>230.21387960354022</v>
      </c>
      <c r="V29" s="67">
        <v>217.09168846613846</v>
      </c>
      <c r="W29" s="67">
        <v>203.52345793700485</v>
      </c>
      <c r="X29" s="67">
        <v>190.8032418159421</v>
      </c>
      <c r="Y29" s="67">
        <v>178.87803920244576</v>
      </c>
      <c r="Z29" s="67">
        <v>167.69816175229295</v>
      </c>
      <c r="AA29" s="67">
        <v>157.21702664277467</v>
      </c>
      <c r="AB29" s="67">
        <v>147.39096247760128</v>
      </c>
      <c r="AC29" s="67">
        <v>138.17902732275124</v>
      </c>
      <c r="AD29" s="67">
        <v>126.77925756862429</v>
      </c>
      <c r="AE29" s="67">
        <v>113.78438366784032</v>
      </c>
      <c r="AF29" s="67">
        <v>99.8457966685299</v>
      </c>
      <c r="AG29" s="67">
        <v>87.614686576635009</v>
      </c>
      <c r="AH29" s="67">
        <v>76.881887470997242</v>
      </c>
      <c r="AI29" s="67">
        <v>67.463856255800096</v>
      </c>
      <c r="AJ29" s="67">
        <v>59.199533864464598</v>
      </c>
      <c r="AK29" s="67">
        <v>48.987614272844461</v>
      </c>
      <c r="AL29" s="67">
        <v>38.087870097136573</v>
      </c>
      <c r="AM29" s="67">
        <v>27.708925495666858</v>
      </c>
      <c r="AN29" s="67">
        <v>18.772797023314297</v>
      </c>
      <c r="AO29" s="67">
        <v>11.779930132129721</v>
      </c>
      <c r="AP29" s="67">
        <v>6.8029096513049128</v>
      </c>
    </row>
    <row r="30" spans="1:42" x14ac:dyDescent="0.3">
      <c r="A30" s="32">
        <v>6</v>
      </c>
      <c r="B30" s="32" t="s">
        <v>227</v>
      </c>
      <c r="C30" s="38" t="s">
        <v>228</v>
      </c>
      <c r="D30" s="38">
        <v>4</v>
      </c>
      <c r="E30" s="39" t="s">
        <v>340</v>
      </c>
      <c r="F30" s="18" t="s">
        <v>354</v>
      </c>
      <c r="G30" s="34"/>
      <c r="H30" s="32" t="s">
        <v>334</v>
      </c>
      <c r="I30" s="33">
        <v>0</v>
      </c>
      <c r="J30" s="74" t="s">
        <v>354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</row>
    <row r="31" spans="1:42" x14ac:dyDescent="0.3">
      <c r="A31" s="32">
        <v>6</v>
      </c>
      <c r="B31" s="32" t="s">
        <v>227</v>
      </c>
      <c r="C31" s="38" t="s">
        <v>228</v>
      </c>
      <c r="D31" s="38">
        <v>5</v>
      </c>
      <c r="E31" s="39" t="s">
        <v>343</v>
      </c>
      <c r="F31" s="18" t="s">
        <v>354</v>
      </c>
      <c r="G31" s="34"/>
      <c r="H31" s="32" t="s">
        <v>334</v>
      </c>
      <c r="I31" s="33">
        <v>0</v>
      </c>
      <c r="J31" s="74" t="s">
        <v>354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</row>
    <row r="32" spans="1:42" x14ac:dyDescent="0.3">
      <c r="A32" s="4">
        <v>7</v>
      </c>
      <c r="B32" s="4" t="s">
        <v>229</v>
      </c>
      <c r="C32" s="40" t="s">
        <v>230</v>
      </c>
      <c r="D32" s="40">
        <v>1</v>
      </c>
      <c r="E32" s="25" t="s">
        <v>333</v>
      </c>
      <c r="F32" s="23" t="s">
        <v>392</v>
      </c>
      <c r="G32" s="30" t="s">
        <v>393</v>
      </c>
      <c r="H32" s="31" t="s">
        <v>350</v>
      </c>
      <c r="I32" s="29">
        <v>0</v>
      </c>
      <c r="J32" s="73">
        <v>10504.5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</row>
    <row r="33" spans="1:42" x14ac:dyDescent="0.3">
      <c r="A33" s="4">
        <v>7</v>
      </c>
      <c r="B33" s="4" t="s">
        <v>229</v>
      </c>
      <c r="C33" s="40" t="s">
        <v>230</v>
      </c>
      <c r="D33" s="40">
        <v>2</v>
      </c>
      <c r="E33" s="25" t="s">
        <v>335</v>
      </c>
      <c r="F33" s="23" t="s">
        <v>394</v>
      </c>
      <c r="G33" s="30" t="s">
        <v>394</v>
      </c>
      <c r="H33" s="31" t="s">
        <v>338</v>
      </c>
      <c r="I33" s="29">
        <v>0</v>
      </c>
      <c r="J33" s="73">
        <v>49.32</v>
      </c>
      <c r="K33" s="67">
        <v>49.32</v>
      </c>
      <c r="L33" s="67">
        <v>49.32</v>
      </c>
      <c r="M33" s="67">
        <v>49.32</v>
      </c>
      <c r="N33" s="67">
        <v>49.32</v>
      </c>
      <c r="O33" s="67">
        <v>49.32</v>
      </c>
      <c r="P33" s="67">
        <v>49.32</v>
      </c>
      <c r="Q33" s="67">
        <v>49.32</v>
      </c>
      <c r="R33" s="67">
        <v>49.32</v>
      </c>
      <c r="S33" s="67">
        <v>49.32</v>
      </c>
      <c r="T33" s="67">
        <v>49.32</v>
      </c>
      <c r="U33" s="67">
        <v>49.32</v>
      </c>
      <c r="V33" s="67">
        <v>49.32</v>
      </c>
      <c r="W33" s="67">
        <v>49.32</v>
      </c>
      <c r="X33" s="67">
        <v>49.32</v>
      </c>
      <c r="Y33" s="67">
        <v>49.32</v>
      </c>
      <c r="Z33" s="67">
        <v>49.32</v>
      </c>
      <c r="AA33" s="67">
        <v>49.32</v>
      </c>
      <c r="AB33" s="67">
        <v>49.32</v>
      </c>
      <c r="AC33" s="67">
        <v>49.32</v>
      </c>
      <c r="AD33" s="67">
        <v>49.32</v>
      </c>
      <c r="AE33" s="67">
        <v>49.32</v>
      </c>
      <c r="AF33" s="67">
        <v>49.32</v>
      </c>
      <c r="AG33" s="67">
        <v>49.32</v>
      </c>
      <c r="AH33" s="67">
        <v>49.32</v>
      </c>
      <c r="AI33" s="67">
        <v>49.32</v>
      </c>
      <c r="AJ33" s="67">
        <v>49.32</v>
      </c>
      <c r="AK33" s="67">
        <v>49.32</v>
      </c>
      <c r="AL33" s="67">
        <v>49.32</v>
      </c>
      <c r="AM33" s="67">
        <v>49.32</v>
      </c>
      <c r="AN33" s="67">
        <v>49.32</v>
      </c>
      <c r="AO33" s="67">
        <v>49.32</v>
      </c>
      <c r="AP33" s="67">
        <v>49.32</v>
      </c>
    </row>
    <row r="34" spans="1:42" x14ac:dyDescent="0.3">
      <c r="A34" s="4">
        <v>7</v>
      </c>
      <c r="B34" s="4" t="s">
        <v>229</v>
      </c>
      <c r="C34" s="40" t="s">
        <v>230</v>
      </c>
      <c r="D34" s="40">
        <v>3</v>
      </c>
      <c r="E34" s="25" t="s">
        <v>339</v>
      </c>
      <c r="F34" s="23" t="s">
        <v>395</v>
      </c>
      <c r="G34" s="30" t="s">
        <v>396</v>
      </c>
      <c r="H34" s="31" t="s">
        <v>338</v>
      </c>
      <c r="I34" s="29">
        <v>0</v>
      </c>
      <c r="J34" s="73">
        <v>17101.099999999999</v>
      </c>
      <c r="K34" s="67">
        <v>16502.5615</v>
      </c>
      <c r="L34" s="67">
        <v>15924.971847499999</v>
      </c>
      <c r="M34" s="67">
        <v>15367.597832837499</v>
      </c>
      <c r="N34" s="67">
        <v>14829.731908688185</v>
      </c>
      <c r="O34" s="67">
        <v>14310.691291884099</v>
      </c>
      <c r="P34" s="67">
        <v>13809.817096668156</v>
      </c>
      <c r="Q34" s="67">
        <v>13326.473498284769</v>
      </c>
      <c r="R34" s="67">
        <v>12860.046925844803</v>
      </c>
      <c r="S34" s="67">
        <v>12339.215025348089</v>
      </c>
      <c r="T34" s="67">
        <v>11771.611134182078</v>
      </c>
      <c r="U34" s="67">
        <v>11165.373160771702</v>
      </c>
      <c r="V34" s="67">
        <v>10528.946890607716</v>
      </c>
      <c r="W34" s="67">
        <v>9870.8877099447363</v>
      </c>
      <c r="X34" s="67">
        <v>9253.9572280731918</v>
      </c>
      <c r="Y34" s="67">
        <v>8675.5849013186198</v>
      </c>
      <c r="Z34" s="67">
        <v>8133.3608449862077</v>
      </c>
      <c r="AA34" s="67">
        <v>7625.0257921745715</v>
      </c>
      <c r="AB34" s="67">
        <v>7148.4616801636621</v>
      </c>
      <c r="AC34" s="67">
        <v>6701.6828251534344</v>
      </c>
      <c r="AD34" s="67">
        <v>6148.7939920782774</v>
      </c>
      <c r="AE34" s="67">
        <v>5518.5426078902547</v>
      </c>
      <c r="AF34" s="67">
        <v>4842.5211384236991</v>
      </c>
      <c r="AG34" s="67">
        <v>4249.3122989667963</v>
      </c>
      <c r="AH34" s="67">
        <v>3728.7715423433647</v>
      </c>
      <c r="AI34" s="67">
        <v>3271.9970284063033</v>
      </c>
      <c r="AJ34" s="67">
        <v>2871.1773924265317</v>
      </c>
      <c r="AK34" s="67">
        <v>2375.8992922329553</v>
      </c>
      <c r="AL34" s="67">
        <v>1847.2616997111229</v>
      </c>
      <c r="AM34" s="67">
        <v>1343.882886539842</v>
      </c>
      <c r="AN34" s="67">
        <v>910.48065563074294</v>
      </c>
      <c r="AO34" s="67">
        <v>571.32661140829111</v>
      </c>
      <c r="AP34" s="67">
        <v>329.94111808828808</v>
      </c>
    </row>
    <row r="35" spans="1:42" x14ac:dyDescent="0.3">
      <c r="A35" s="4">
        <v>7</v>
      </c>
      <c r="B35" s="4" t="s">
        <v>229</v>
      </c>
      <c r="C35" s="40" t="s">
        <v>230</v>
      </c>
      <c r="D35" s="40">
        <v>4</v>
      </c>
      <c r="E35" s="25" t="s">
        <v>340</v>
      </c>
      <c r="F35" s="23" t="s">
        <v>354</v>
      </c>
      <c r="G35" s="30"/>
      <c r="H35" s="31" t="s">
        <v>334</v>
      </c>
      <c r="I35" s="29">
        <v>0</v>
      </c>
      <c r="J35" s="73" t="s">
        <v>354</v>
      </c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</row>
    <row r="36" spans="1:42" x14ac:dyDescent="0.3">
      <c r="A36" s="4">
        <v>7</v>
      </c>
      <c r="B36" s="4" t="s">
        <v>229</v>
      </c>
      <c r="C36" s="40" t="s">
        <v>230</v>
      </c>
      <c r="D36" s="40">
        <v>5</v>
      </c>
      <c r="E36" s="25" t="s">
        <v>343</v>
      </c>
      <c r="F36" s="23" t="s">
        <v>354</v>
      </c>
      <c r="G36" s="30"/>
      <c r="H36" s="31" t="s">
        <v>334</v>
      </c>
      <c r="I36" s="29">
        <v>0</v>
      </c>
      <c r="J36" s="73" t="s">
        <v>354</v>
      </c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</row>
    <row r="37" spans="1:42" x14ac:dyDescent="0.3">
      <c r="A37" s="32">
        <v>8</v>
      </c>
      <c r="B37" s="32" t="s">
        <v>231</v>
      </c>
      <c r="C37" s="38" t="s">
        <v>232</v>
      </c>
      <c r="D37" s="38">
        <v>1</v>
      </c>
      <c r="E37" s="39" t="s">
        <v>333</v>
      </c>
      <c r="F37" s="18" t="s">
        <v>392</v>
      </c>
      <c r="G37" s="34" t="s">
        <v>393</v>
      </c>
      <c r="H37" s="32" t="s">
        <v>398</v>
      </c>
      <c r="I37" s="33">
        <v>0</v>
      </c>
      <c r="J37" s="74">
        <v>30000</v>
      </c>
      <c r="K37" s="67">
        <v>0.94881398252184768</v>
      </c>
      <c r="L37" s="67">
        <v>0.89762796504369535</v>
      </c>
      <c r="M37" s="67">
        <v>0.8651685393258427</v>
      </c>
      <c r="N37" s="67">
        <v>0.83270911360799005</v>
      </c>
      <c r="O37" s="67">
        <v>0.80774032459425715</v>
      </c>
      <c r="P37" s="67">
        <v>0.78152309612983772</v>
      </c>
      <c r="Q37" s="67">
        <v>0.76279650436953805</v>
      </c>
      <c r="R37" s="67">
        <v>0.74282147315855185</v>
      </c>
      <c r="S37" s="67">
        <v>0.72409488139825218</v>
      </c>
      <c r="T37" s="67">
        <v>0.70536828963795251</v>
      </c>
      <c r="U37" s="67">
        <v>0.6853932584269663</v>
      </c>
      <c r="V37" s="67">
        <v>0.66666666666666663</v>
      </c>
      <c r="W37" s="67">
        <v>0.66167290886392005</v>
      </c>
      <c r="X37" s="67">
        <v>0.65543071161048694</v>
      </c>
      <c r="Y37" s="67">
        <v>0.65043695380774036</v>
      </c>
      <c r="Z37" s="67">
        <v>0.64544319600499378</v>
      </c>
      <c r="AA37" s="67">
        <v>0.6404494382022472</v>
      </c>
      <c r="AB37" s="67">
        <v>0.63420724094881398</v>
      </c>
      <c r="AC37" s="67">
        <v>0.6292134831460674</v>
      </c>
      <c r="AD37" s="67">
        <v>0.62421972534332082</v>
      </c>
      <c r="AE37" s="67">
        <v>0.61922596754057424</v>
      </c>
      <c r="AF37" s="67">
        <v>0.61423220973782766</v>
      </c>
      <c r="AG37" s="67">
        <v>0.60799001248439455</v>
      </c>
      <c r="AH37" s="67">
        <v>0.60299625468164797</v>
      </c>
      <c r="AI37" s="67">
        <v>0.59800249687890139</v>
      </c>
      <c r="AJ37" s="67">
        <v>0.59300873907615481</v>
      </c>
      <c r="AK37" s="67">
        <v>0.58676654182272159</v>
      </c>
      <c r="AL37" s="67">
        <v>0.58177278401997501</v>
      </c>
      <c r="AM37" s="67">
        <v>0.57677902621722843</v>
      </c>
      <c r="AN37" s="67">
        <v>0.57178526841448185</v>
      </c>
      <c r="AO37" s="67">
        <v>0.56679151061173538</v>
      </c>
      <c r="AP37" s="67">
        <v>0.56054931335830216</v>
      </c>
    </row>
    <row r="38" spans="1:42" x14ac:dyDescent="0.3">
      <c r="A38" s="32">
        <v>8</v>
      </c>
      <c r="B38" s="32" t="s">
        <v>231</v>
      </c>
      <c r="C38" s="38" t="s">
        <v>232</v>
      </c>
      <c r="D38" s="38">
        <v>2</v>
      </c>
      <c r="E38" s="39" t="s">
        <v>335</v>
      </c>
      <c r="F38" s="18" t="s">
        <v>394</v>
      </c>
      <c r="G38" s="34" t="s">
        <v>394</v>
      </c>
      <c r="H38" s="32" t="s">
        <v>338</v>
      </c>
      <c r="I38" s="33">
        <v>0</v>
      </c>
      <c r="J38" s="74">
        <v>16.275600000000001</v>
      </c>
      <c r="K38" s="67">
        <v>16.275600000000001</v>
      </c>
      <c r="L38" s="67">
        <v>16.275600000000001</v>
      </c>
      <c r="M38" s="67">
        <v>16.275600000000001</v>
      </c>
      <c r="N38" s="67">
        <v>16.275600000000001</v>
      </c>
      <c r="O38" s="67">
        <v>16.275600000000001</v>
      </c>
      <c r="P38" s="67">
        <v>16.275600000000001</v>
      </c>
      <c r="Q38" s="67">
        <v>16.275600000000001</v>
      </c>
      <c r="R38" s="67">
        <v>16.275600000000001</v>
      </c>
      <c r="S38" s="67">
        <v>16.275600000000001</v>
      </c>
      <c r="T38" s="67">
        <v>16.275600000000001</v>
      </c>
      <c r="U38" s="67">
        <v>16.275600000000001</v>
      </c>
      <c r="V38" s="67">
        <v>16.275600000000001</v>
      </c>
      <c r="W38" s="67">
        <v>16.275600000000001</v>
      </c>
      <c r="X38" s="67">
        <v>16.275600000000001</v>
      </c>
      <c r="Y38" s="67">
        <v>16.275600000000001</v>
      </c>
      <c r="Z38" s="67">
        <v>16.275600000000001</v>
      </c>
      <c r="AA38" s="67">
        <v>16.275600000000001</v>
      </c>
      <c r="AB38" s="67">
        <v>16.275600000000001</v>
      </c>
      <c r="AC38" s="67">
        <v>16.275600000000001</v>
      </c>
      <c r="AD38" s="67">
        <v>16.275600000000001</v>
      </c>
      <c r="AE38" s="67">
        <v>16.275600000000001</v>
      </c>
      <c r="AF38" s="67">
        <v>16.275600000000001</v>
      </c>
      <c r="AG38" s="67">
        <v>16.275600000000001</v>
      </c>
      <c r="AH38" s="67">
        <v>16.275600000000001</v>
      </c>
      <c r="AI38" s="67">
        <v>16.275600000000001</v>
      </c>
      <c r="AJ38" s="67">
        <v>16.275600000000001</v>
      </c>
      <c r="AK38" s="67">
        <v>16.275600000000001</v>
      </c>
      <c r="AL38" s="67">
        <v>16.275600000000001</v>
      </c>
      <c r="AM38" s="67">
        <v>16.275600000000001</v>
      </c>
      <c r="AN38" s="67">
        <v>16.275600000000001</v>
      </c>
      <c r="AO38" s="67">
        <v>16.275600000000001</v>
      </c>
      <c r="AP38" s="67">
        <v>16.275600000000001</v>
      </c>
    </row>
    <row r="39" spans="1:42" x14ac:dyDescent="0.3">
      <c r="A39" s="32">
        <v>8</v>
      </c>
      <c r="B39" s="32" t="s">
        <v>231</v>
      </c>
      <c r="C39" s="32" t="s">
        <v>232</v>
      </c>
      <c r="D39" s="32">
        <v>3</v>
      </c>
      <c r="E39" s="33" t="s">
        <v>339</v>
      </c>
      <c r="F39" s="13" t="s">
        <v>395</v>
      </c>
      <c r="G39" s="34" t="s">
        <v>396</v>
      </c>
      <c r="H39" s="32" t="s">
        <v>334</v>
      </c>
      <c r="I39" s="33">
        <v>0</v>
      </c>
      <c r="J39" s="74" t="s">
        <v>354</v>
      </c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</row>
    <row r="40" spans="1:42" x14ac:dyDescent="0.3">
      <c r="A40" s="32">
        <v>8</v>
      </c>
      <c r="B40" s="32" t="s">
        <v>231</v>
      </c>
      <c r="C40" s="32" t="s">
        <v>232</v>
      </c>
      <c r="D40" s="32">
        <v>4</v>
      </c>
      <c r="E40" s="33" t="s">
        <v>340</v>
      </c>
      <c r="F40" s="13" t="s">
        <v>354</v>
      </c>
      <c r="G40" s="34"/>
      <c r="H40" s="32" t="s">
        <v>334</v>
      </c>
      <c r="I40" s="33">
        <v>0</v>
      </c>
      <c r="J40" s="74" t="s">
        <v>354</v>
      </c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</row>
    <row r="41" spans="1:42" x14ac:dyDescent="0.3">
      <c r="A41" s="32">
        <v>8</v>
      </c>
      <c r="B41" s="32" t="s">
        <v>231</v>
      </c>
      <c r="C41" s="32" t="s">
        <v>232</v>
      </c>
      <c r="D41" s="32">
        <v>5</v>
      </c>
      <c r="E41" s="33" t="s">
        <v>343</v>
      </c>
      <c r="F41" s="13" t="s">
        <v>354</v>
      </c>
      <c r="G41" s="34"/>
      <c r="H41" s="32" t="s">
        <v>334</v>
      </c>
      <c r="I41" s="33">
        <v>0</v>
      </c>
      <c r="J41" s="74" t="s">
        <v>354</v>
      </c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</row>
    <row r="42" spans="1:42" x14ac:dyDescent="0.3">
      <c r="A42" s="4">
        <v>9</v>
      </c>
      <c r="B42" s="4" t="s">
        <v>233</v>
      </c>
      <c r="C42" s="4" t="s">
        <v>234</v>
      </c>
      <c r="D42" s="4">
        <v>1</v>
      </c>
      <c r="E42" s="29" t="s">
        <v>333</v>
      </c>
      <c r="F42" s="7" t="s">
        <v>392</v>
      </c>
      <c r="G42" s="30" t="s">
        <v>393</v>
      </c>
      <c r="H42" s="4" t="s">
        <v>350</v>
      </c>
      <c r="I42" s="29">
        <v>0</v>
      </c>
      <c r="J42" s="73">
        <v>1153.47</v>
      </c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</row>
    <row r="43" spans="1:42" x14ac:dyDescent="0.3">
      <c r="A43" s="4">
        <v>9</v>
      </c>
      <c r="B43" s="4" t="s">
        <v>233</v>
      </c>
      <c r="C43" s="4" t="s">
        <v>234</v>
      </c>
      <c r="D43" s="4">
        <v>2</v>
      </c>
      <c r="E43" s="29" t="s">
        <v>335</v>
      </c>
      <c r="F43" s="7" t="s">
        <v>394</v>
      </c>
      <c r="G43" s="30" t="s">
        <v>394</v>
      </c>
      <c r="H43" s="4" t="s">
        <v>338</v>
      </c>
      <c r="I43" s="29">
        <v>0</v>
      </c>
      <c r="J43" s="73">
        <v>5.41</v>
      </c>
      <c r="K43" s="67">
        <v>5.41</v>
      </c>
      <c r="L43" s="67">
        <v>5.41</v>
      </c>
      <c r="M43" s="67">
        <v>5.41</v>
      </c>
      <c r="N43" s="67">
        <v>5.41</v>
      </c>
      <c r="O43" s="67">
        <v>5.41</v>
      </c>
      <c r="P43" s="67">
        <v>5.41</v>
      </c>
      <c r="Q43" s="67">
        <v>5.41</v>
      </c>
      <c r="R43" s="67">
        <v>5.41</v>
      </c>
      <c r="S43" s="67">
        <v>5.41</v>
      </c>
      <c r="T43" s="67">
        <v>5.41</v>
      </c>
      <c r="U43" s="67">
        <v>5.41</v>
      </c>
      <c r="V43" s="67">
        <v>5.41</v>
      </c>
      <c r="W43" s="67">
        <v>5.41</v>
      </c>
      <c r="X43" s="67">
        <v>5.41</v>
      </c>
      <c r="Y43" s="67">
        <v>5.41</v>
      </c>
      <c r="Z43" s="67">
        <v>5.41</v>
      </c>
      <c r="AA43" s="67">
        <v>5.41</v>
      </c>
      <c r="AB43" s="67">
        <v>5.41</v>
      </c>
      <c r="AC43" s="67">
        <v>5.41</v>
      </c>
      <c r="AD43" s="67">
        <v>5.41</v>
      </c>
      <c r="AE43" s="67">
        <v>5.41</v>
      </c>
      <c r="AF43" s="67">
        <v>5.41</v>
      </c>
      <c r="AG43" s="67">
        <v>5.41</v>
      </c>
      <c r="AH43" s="67">
        <v>5.41</v>
      </c>
      <c r="AI43" s="67">
        <v>5.41</v>
      </c>
      <c r="AJ43" s="67">
        <v>5.41</v>
      </c>
      <c r="AK43" s="67">
        <v>5.41</v>
      </c>
      <c r="AL43" s="67">
        <v>5.41</v>
      </c>
      <c r="AM43" s="67">
        <v>5.41</v>
      </c>
      <c r="AN43" s="67">
        <v>5.41</v>
      </c>
      <c r="AO43" s="67">
        <v>5.41</v>
      </c>
      <c r="AP43" s="67">
        <v>5.41</v>
      </c>
    </row>
    <row r="44" spans="1:42" x14ac:dyDescent="0.3">
      <c r="A44" s="4">
        <v>9</v>
      </c>
      <c r="B44" s="4" t="s">
        <v>233</v>
      </c>
      <c r="C44" s="4" t="s">
        <v>234</v>
      </c>
      <c r="D44" s="4">
        <v>3</v>
      </c>
      <c r="E44" s="29" t="s">
        <v>339</v>
      </c>
      <c r="F44" s="7" t="s">
        <v>395</v>
      </c>
      <c r="G44" s="30" t="s">
        <v>396</v>
      </c>
      <c r="H44" s="4" t="s">
        <v>338</v>
      </c>
      <c r="I44" s="29">
        <v>0</v>
      </c>
      <c r="J44" s="73">
        <v>2350540.7799999998</v>
      </c>
      <c r="K44" s="67">
        <v>2268271.8526999997</v>
      </c>
      <c r="L44" s="67">
        <v>2188882.3378554997</v>
      </c>
      <c r="M44" s="67">
        <v>2112271.4560305569</v>
      </c>
      <c r="N44" s="67">
        <v>2038341.9550694874</v>
      </c>
      <c r="O44" s="67">
        <v>1966999.9866420552</v>
      </c>
      <c r="P44" s="67">
        <v>1898154.9871095831</v>
      </c>
      <c r="Q44" s="67">
        <v>1831719.5625607476</v>
      </c>
      <c r="R44" s="67">
        <v>1767609.3778711213</v>
      </c>
      <c r="S44" s="67">
        <v>1696021.198067341</v>
      </c>
      <c r="T44" s="67">
        <v>1618004.2229562434</v>
      </c>
      <c r="U44" s="67">
        <v>1534677.0054739972</v>
      </c>
      <c r="V44" s="67">
        <v>1447200.4161619795</v>
      </c>
      <c r="W44" s="67">
        <v>1356750.3901518562</v>
      </c>
      <c r="X44" s="67">
        <v>1271953.4907673656</v>
      </c>
      <c r="Y44" s="67">
        <v>1192456.3975944056</v>
      </c>
      <c r="Z44" s="67">
        <v>1117927.8727447556</v>
      </c>
      <c r="AA44" s="67">
        <v>1048057.3806982086</v>
      </c>
      <c r="AB44" s="67">
        <v>982553.79440457083</v>
      </c>
      <c r="AC44" s="67">
        <v>921144.18225428532</v>
      </c>
      <c r="AD44" s="67">
        <v>845149.78721830691</v>
      </c>
      <c r="AE44" s="67">
        <v>758521.93402843061</v>
      </c>
      <c r="AF44" s="67">
        <v>665602.99710994796</v>
      </c>
      <c r="AG44" s="67">
        <v>584066.62996397947</v>
      </c>
      <c r="AH44" s="67">
        <v>512518.46779339208</v>
      </c>
      <c r="AI44" s="67">
        <v>449734.95548870164</v>
      </c>
      <c r="AJ44" s="67">
        <v>394642.42344133579</v>
      </c>
      <c r="AK44" s="67">
        <v>326566.6053977054</v>
      </c>
      <c r="AL44" s="67">
        <v>253905.53569671596</v>
      </c>
      <c r="AM44" s="67">
        <v>184716.27721936087</v>
      </c>
      <c r="AN44" s="67">
        <v>125145.27781611698</v>
      </c>
      <c r="AO44" s="67">
        <v>78528.661829613397</v>
      </c>
      <c r="AP44" s="67">
        <v>45350.302206601729</v>
      </c>
    </row>
    <row r="45" spans="1:42" x14ac:dyDescent="0.3">
      <c r="A45" s="4">
        <v>9</v>
      </c>
      <c r="B45" s="4" t="s">
        <v>233</v>
      </c>
      <c r="C45" s="4" t="s">
        <v>234</v>
      </c>
      <c r="D45" s="4">
        <v>4</v>
      </c>
      <c r="E45" s="29" t="s">
        <v>340</v>
      </c>
      <c r="F45" s="7" t="s">
        <v>354</v>
      </c>
      <c r="G45" s="30"/>
      <c r="H45" s="4" t="s">
        <v>334</v>
      </c>
      <c r="I45" s="29">
        <v>0</v>
      </c>
      <c r="J45" s="73" t="s">
        <v>354</v>
      </c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</row>
    <row r="46" spans="1:42" x14ac:dyDescent="0.3">
      <c r="A46" s="4">
        <v>9</v>
      </c>
      <c r="B46" s="4" t="s">
        <v>233</v>
      </c>
      <c r="C46" s="4" t="s">
        <v>234</v>
      </c>
      <c r="D46" s="4">
        <v>5</v>
      </c>
      <c r="E46" s="29" t="s">
        <v>343</v>
      </c>
      <c r="F46" s="7" t="s">
        <v>354</v>
      </c>
      <c r="G46" s="30"/>
      <c r="H46" s="4" t="s">
        <v>334</v>
      </c>
      <c r="I46" s="29">
        <v>0</v>
      </c>
      <c r="J46" s="73" t="s">
        <v>354</v>
      </c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</row>
    <row r="47" spans="1:42" x14ac:dyDescent="0.3">
      <c r="A47" s="32">
        <v>10</v>
      </c>
      <c r="B47" s="32" t="s">
        <v>235</v>
      </c>
      <c r="C47" s="32" t="s">
        <v>236</v>
      </c>
      <c r="D47" s="32">
        <v>1</v>
      </c>
      <c r="E47" s="33" t="s">
        <v>333</v>
      </c>
      <c r="F47" s="10" t="s">
        <v>392</v>
      </c>
      <c r="G47" s="34" t="s">
        <v>393</v>
      </c>
      <c r="H47" s="32" t="s">
        <v>350</v>
      </c>
      <c r="I47" s="33">
        <v>0</v>
      </c>
      <c r="J47" s="74">
        <v>3000</v>
      </c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</row>
    <row r="48" spans="1:42" x14ac:dyDescent="0.3">
      <c r="A48" s="32">
        <v>10</v>
      </c>
      <c r="B48" s="32" t="s">
        <v>235</v>
      </c>
      <c r="C48" s="32" t="s">
        <v>236</v>
      </c>
      <c r="D48" s="32">
        <v>2</v>
      </c>
      <c r="E48" s="33" t="s">
        <v>335</v>
      </c>
      <c r="F48" s="13" t="s">
        <v>394</v>
      </c>
      <c r="G48" s="34" t="s">
        <v>394</v>
      </c>
      <c r="H48" s="32" t="s">
        <v>338</v>
      </c>
      <c r="I48" s="33">
        <v>0</v>
      </c>
      <c r="J48" s="74">
        <v>1.7853000000000001</v>
      </c>
      <c r="K48" s="67">
        <v>1.7853000000000001</v>
      </c>
      <c r="L48" s="67">
        <v>1.7853000000000001</v>
      </c>
      <c r="M48" s="67">
        <v>1.7853000000000001</v>
      </c>
      <c r="N48" s="67">
        <v>1.7853000000000001</v>
      </c>
      <c r="O48" s="67">
        <v>1.7853000000000001</v>
      </c>
      <c r="P48" s="67">
        <v>1.7853000000000001</v>
      </c>
      <c r="Q48" s="67">
        <v>1.7853000000000001</v>
      </c>
      <c r="R48" s="67">
        <v>1.7853000000000001</v>
      </c>
      <c r="S48" s="67">
        <v>1.7853000000000001</v>
      </c>
      <c r="T48" s="67">
        <v>1.7853000000000001</v>
      </c>
      <c r="U48" s="67">
        <v>1.7853000000000001</v>
      </c>
      <c r="V48" s="67">
        <v>1.7853000000000001</v>
      </c>
      <c r="W48" s="67">
        <v>1.7853000000000001</v>
      </c>
      <c r="X48" s="67">
        <v>1.7853000000000001</v>
      </c>
      <c r="Y48" s="67">
        <v>1.7853000000000001</v>
      </c>
      <c r="Z48" s="67">
        <v>1.7853000000000001</v>
      </c>
      <c r="AA48" s="67">
        <v>1.7853000000000001</v>
      </c>
      <c r="AB48" s="67">
        <v>1.7853000000000001</v>
      </c>
      <c r="AC48" s="67">
        <v>1.7853000000000001</v>
      </c>
      <c r="AD48" s="67">
        <v>1.7853000000000001</v>
      </c>
      <c r="AE48" s="67">
        <v>1.7853000000000001</v>
      </c>
      <c r="AF48" s="67">
        <v>1.7853000000000001</v>
      </c>
      <c r="AG48" s="67">
        <v>1.7853000000000001</v>
      </c>
      <c r="AH48" s="67">
        <v>1.7853000000000001</v>
      </c>
      <c r="AI48" s="67">
        <v>1.7853000000000001</v>
      </c>
      <c r="AJ48" s="67">
        <v>1.7853000000000001</v>
      </c>
      <c r="AK48" s="67">
        <v>1.7853000000000001</v>
      </c>
      <c r="AL48" s="67">
        <v>1.7853000000000001</v>
      </c>
      <c r="AM48" s="67">
        <v>1.7853000000000001</v>
      </c>
      <c r="AN48" s="67">
        <v>1.7853000000000001</v>
      </c>
      <c r="AO48" s="67">
        <v>1.7853000000000001</v>
      </c>
      <c r="AP48" s="67">
        <v>1.7853000000000001</v>
      </c>
    </row>
    <row r="49" spans="1:42" x14ac:dyDescent="0.3">
      <c r="A49" s="32">
        <v>10</v>
      </c>
      <c r="B49" s="32" t="s">
        <v>235</v>
      </c>
      <c r="C49" s="32" t="s">
        <v>236</v>
      </c>
      <c r="D49" s="32">
        <v>3</v>
      </c>
      <c r="E49" s="33" t="s">
        <v>339</v>
      </c>
      <c r="F49" s="13" t="s">
        <v>395</v>
      </c>
      <c r="G49" s="34" t="s">
        <v>396</v>
      </c>
      <c r="H49" s="32" t="s">
        <v>338</v>
      </c>
      <c r="I49" s="33">
        <v>0</v>
      </c>
      <c r="J49" s="74">
        <v>23985.11</v>
      </c>
      <c r="K49" s="67">
        <v>23145.631150000001</v>
      </c>
      <c r="L49" s="67">
        <v>22335.53405975</v>
      </c>
      <c r="M49" s="67">
        <v>21553.790367658748</v>
      </c>
      <c r="N49" s="67">
        <v>20799.40770479069</v>
      </c>
      <c r="O49" s="67">
        <v>20071.428435123016</v>
      </c>
      <c r="P49" s="67">
        <v>19368.928439893709</v>
      </c>
      <c r="Q49" s="67">
        <v>18691.015944497427</v>
      </c>
      <c r="R49" s="67">
        <v>18036.830386440015</v>
      </c>
      <c r="S49" s="67">
        <v>17306.338755789195</v>
      </c>
      <c r="T49" s="67">
        <v>16510.247173022894</v>
      </c>
      <c r="U49" s="67">
        <v>15659.969443612217</v>
      </c>
      <c r="V49" s="67">
        <v>14767.351185326324</v>
      </c>
      <c r="W49" s="67">
        <v>13844.391736243433</v>
      </c>
      <c r="X49" s="67">
        <v>12979.117252728222</v>
      </c>
      <c r="Y49" s="67">
        <v>12167.922424432711</v>
      </c>
      <c r="Z49" s="67">
        <v>11407.427272905668</v>
      </c>
      <c r="AA49" s="67">
        <v>10694.463068349067</v>
      </c>
      <c r="AB49" s="67">
        <v>10026.059126577253</v>
      </c>
      <c r="AC49" s="67">
        <v>9399.4304311661763</v>
      </c>
      <c r="AD49" s="67">
        <v>8623.9774205949689</v>
      </c>
      <c r="AE49" s="67">
        <v>7740.0197349839864</v>
      </c>
      <c r="AF49" s="67">
        <v>6791.8673174484493</v>
      </c>
      <c r="AG49" s="67">
        <v>5959.8635710610151</v>
      </c>
      <c r="AH49" s="67">
        <v>5229.7802836060418</v>
      </c>
      <c r="AI49" s="67">
        <v>4589.1321988643022</v>
      </c>
      <c r="AJ49" s="67">
        <v>4026.9635045034261</v>
      </c>
      <c r="AK49" s="67">
        <v>3332.3122999765856</v>
      </c>
      <c r="AL49" s="67">
        <v>2590.8728132317956</v>
      </c>
      <c r="AM49" s="67">
        <v>1884.8599716261315</v>
      </c>
      <c r="AN49" s="67">
        <v>1276.9926307767041</v>
      </c>
      <c r="AO49" s="67">
        <v>801.31287581238178</v>
      </c>
      <c r="AP49" s="67">
        <v>462.75818578165041</v>
      </c>
    </row>
    <row r="50" spans="1:42" x14ac:dyDescent="0.3">
      <c r="A50" s="32">
        <v>10</v>
      </c>
      <c r="B50" s="32" t="s">
        <v>235</v>
      </c>
      <c r="C50" s="32" t="s">
        <v>236</v>
      </c>
      <c r="D50" s="32">
        <v>4</v>
      </c>
      <c r="E50" s="33" t="s">
        <v>340</v>
      </c>
      <c r="F50" s="13" t="s">
        <v>354</v>
      </c>
      <c r="G50" s="34"/>
      <c r="H50" s="32" t="s">
        <v>334</v>
      </c>
      <c r="I50" s="33">
        <v>0</v>
      </c>
      <c r="J50" s="74" t="s">
        <v>354</v>
      </c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</row>
    <row r="51" spans="1:42" x14ac:dyDescent="0.3">
      <c r="A51" s="32">
        <v>10</v>
      </c>
      <c r="B51" s="32" t="s">
        <v>235</v>
      </c>
      <c r="C51" s="32" t="s">
        <v>236</v>
      </c>
      <c r="D51" s="32">
        <v>5</v>
      </c>
      <c r="E51" s="33" t="s">
        <v>343</v>
      </c>
      <c r="F51" s="13" t="s">
        <v>354</v>
      </c>
      <c r="G51" s="34"/>
      <c r="H51" s="32" t="s">
        <v>334</v>
      </c>
      <c r="I51" s="33">
        <v>0</v>
      </c>
      <c r="J51" s="74" t="s">
        <v>354</v>
      </c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</row>
    <row r="52" spans="1:42" x14ac:dyDescent="0.3">
      <c r="A52" s="4">
        <v>11</v>
      </c>
      <c r="B52" s="4" t="s">
        <v>237</v>
      </c>
      <c r="C52" s="4" t="s">
        <v>238</v>
      </c>
      <c r="D52" s="4">
        <v>1</v>
      </c>
      <c r="E52" s="29" t="s">
        <v>333</v>
      </c>
      <c r="F52" s="7" t="s">
        <v>392</v>
      </c>
      <c r="G52" s="30" t="s">
        <v>393</v>
      </c>
      <c r="H52" s="4" t="s">
        <v>350</v>
      </c>
      <c r="I52" s="29">
        <v>0</v>
      </c>
      <c r="J52" s="73">
        <v>19680.97</v>
      </c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</row>
    <row r="53" spans="1:42" x14ac:dyDescent="0.3">
      <c r="A53" s="4">
        <v>11</v>
      </c>
      <c r="B53" s="4" t="s">
        <v>237</v>
      </c>
      <c r="C53" s="4" t="s">
        <v>238</v>
      </c>
      <c r="D53" s="4">
        <v>2</v>
      </c>
      <c r="E53" s="29" t="s">
        <v>335</v>
      </c>
      <c r="F53" s="7" t="s">
        <v>394</v>
      </c>
      <c r="G53" s="30" t="s">
        <v>394</v>
      </c>
      <c r="H53" s="4" t="s">
        <v>338</v>
      </c>
      <c r="I53" s="29">
        <v>0</v>
      </c>
      <c r="J53" s="73">
        <v>61.65</v>
      </c>
      <c r="K53" s="67">
        <v>61.65</v>
      </c>
      <c r="L53" s="67">
        <v>61.65</v>
      </c>
      <c r="M53" s="67">
        <v>61.65</v>
      </c>
      <c r="N53" s="67">
        <v>61.65</v>
      </c>
      <c r="O53" s="67">
        <v>61.65</v>
      </c>
      <c r="P53" s="67">
        <v>61.65</v>
      </c>
      <c r="Q53" s="67">
        <v>61.65</v>
      </c>
      <c r="R53" s="67">
        <v>61.65</v>
      </c>
      <c r="S53" s="67">
        <v>61.65</v>
      </c>
      <c r="T53" s="67">
        <v>61.65</v>
      </c>
      <c r="U53" s="67">
        <v>61.65</v>
      </c>
      <c r="V53" s="67">
        <v>61.65</v>
      </c>
      <c r="W53" s="67">
        <v>61.65</v>
      </c>
      <c r="X53" s="67">
        <v>61.65</v>
      </c>
      <c r="Y53" s="67">
        <v>61.65</v>
      </c>
      <c r="Z53" s="67">
        <v>61.65</v>
      </c>
      <c r="AA53" s="67">
        <v>61.65</v>
      </c>
      <c r="AB53" s="67">
        <v>61.65</v>
      </c>
      <c r="AC53" s="67">
        <v>61.65</v>
      </c>
      <c r="AD53" s="67">
        <v>61.65</v>
      </c>
      <c r="AE53" s="67">
        <v>61.65</v>
      </c>
      <c r="AF53" s="67">
        <v>61.65</v>
      </c>
      <c r="AG53" s="67">
        <v>61.65</v>
      </c>
      <c r="AH53" s="67">
        <v>61.65</v>
      </c>
      <c r="AI53" s="67">
        <v>61.65</v>
      </c>
      <c r="AJ53" s="67">
        <v>61.65</v>
      </c>
      <c r="AK53" s="67">
        <v>61.65</v>
      </c>
      <c r="AL53" s="67">
        <v>61.65</v>
      </c>
      <c r="AM53" s="67">
        <v>61.65</v>
      </c>
      <c r="AN53" s="67">
        <v>61.65</v>
      </c>
      <c r="AO53" s="67">
        <v>61.65</v>
      </c>
      <c r="AP53" s="67">
        <v>61.65</v>
      </c>
    </row>
    <row r="54" spans="1:42" x14ac:dyDescent="0.3">
      <c r="A54" s="4">
        <v>11</v>
      </c>
      <c r="B54" s="4" t="s">
        <v>237</v>
      </c>
      <c r="C54" s="4" t="s">
        <v>238</v>
      </c>
      <c r="D54" s="4">
        <v>3</v>
      </c>
      <c r="E54" s="29" t="s">
        <v>339</v>
      </c>
      <c r="F54" s="7" t="s">
        <v>395</v>
      </c>
      <c r="G54" s="30" t="s">
        <v>396</v>
      </c>
      <c r="H54" s="4" t="s">
        <v>338</v>
      </c>
      <c r="I54" s="29">
        <v>0</v>
      </c>
      <c r="J54" s="73">
        <v>107980.31999999999</v>
      </c>
      <c r="K54" s="67">
        <v>104201.0088</v>
      </c>
      <c r="L54" s="67">
        <v>100553.97349199999</v>
      </c>
      <c r="M54" s="67">
        <v>97034.584419779989</v>
      </c>
      <c r="N54" s="67">
        <v>93638.373965087681</v>
      </c>
      <c r="O54" s="67">
        <v>90361.030876309611</v>
      </c>
      <c r="P54" s="67">
        <v>87198.394795638771</v>
      </c>
      <c r="Q54" s="67">
        <v>84146.450977791406</v>
      </c>
      <c r="R54" s="67">
        <v>81201.3251935687</v>
      </c>
      <c r="S54" s="67">
        <v>77912.671523229175</v>
      </c>
      <c r="T54" s="67">
        <v>74328.688633160637</v>
      </c>
      <c r="U54" s="67">
        <v>70500.761168552868</v>
      </c>
      <c r="V54" s="67">
        <v>66482.217781945365</v>
      </c>
      <c r="W54" s="67">
        <v>62327.079170573794</v>
      </c>
      <c r="X54" s="67">
        <v>58431.636722412943</v>
      </c>
      <c r="Y54" s="67">
        <v>54779.659427262144</v>
      </c>
      <c r="Z54" s="67">
        <v>51355.930713058275</v>
      </c>
      <c r="AA54" s="67">
        <v>48146.185043492143</v>
      </c>
      <c r="AB54" s="67">
        <v>45137.048478273893</v>
      </c>
      <c r="AC54" s="67">
        <v>42315.982948381788</v>
      </c>
      <c r="AD54" s="67">
        <v>38824.914355140303</v>
      </c>
      <c r="AE54" s="67">
        <v>34845.360633738426</v>
      </c>
      <c r="AF54" s="67">
        <v>30576.803956105476</v>
      </c>
      <c r="AG54" s="67">
        <v>26831.14547148256</v>
      </c>
      <c r="AH54" s="67">
        <v>23544.33015122595</v>
      </c>
      <c r="AI54" s="67">
        <v>20660.149707700773</v>
      </c>
      <c r="AJ54" s="67">
        <v>18129.281368507432</v>
      </c>
      <c r="AK54" s="67">
        <v>15001.980332439902</v>
      </c>
      <c r="AL54" s="67">
        <v>11664.039708472024</v>
      </c>
      <c r="AM54" s="67">
        <v>8485.5888879133981</v>
      </c>
      <c r="AN54" s="67">
        <v>5748.9864715613276</v>
      </c>
      <c r="AO54" s="67">
        <v>3607.4890109047328</v>
      </c>
      <c r="AP54" s="67">
        <v>2083.3249037974829</v>
      </c>
    </row>
    <row r="55" spans="1:42" x14ac:dyDescent="0.3">
      <c r="A55" s="4">
        <v>11</v>
      </c>
      <c r="B55" s="4" t="s">
        <v>237</v>
      </c>
      <c r="C55" s="4" t="s">
        <v>238</v>
      </c>
      <c r="D55" s="4">
        <v>4</v>
      </c>
      <c r="E55" s="29" t="s">
        <v>340</v>
      </c>
      <c r="F55" s="7" t="s">
        <v>354</v>
      </c>
      <c r="G55" s="30"/>
      <c r="H55" s="4" t="s">
        <v>334</v>
      </c>
      <c r="I55" s="29">
        <v>0</v>
      </c>
      <c r="J55" s="73" t="s">
        <v>354</v>
      </c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</row>
    <row r="56" spans="1:42" x14ac:dyDescent="0.3">
      <c r="A56" s="4">
        <v>11</v>
      </c>
      <c r="B56" s="4" t="s">
        <v>237</v>
      </c>
      <c r="C56" s="4" t="s">
        <v>238</v>
      </c>
      <c r="D56" s="4">
        <v>5</v>
      </c>
      <c r="E56" s="29" t="s">
        <v>343</v>
      </c>
      <c r="F56" s="7" t="s">
        <v>354</v>
      </c>
      <c r="G56" s="30"/>
      <c r="H56" s="4" t="s">
        <v>334</v>
      </c>
      <c r="I56" s="29">
        <v>0</v>
      </c>
      <c r="J56" s="73" t="s">
        <v>354</v>
      </c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</row>
    <row r="57" spans="1:42" x14ac:dyDescent="0.3">
      <c r="A57" s="32">
        <v>12</v>
      </c>
      <c r="B57" s="32" t="s">
        <v>239</v>
      </c>
      <c r="C57" s="32" t="s">
        <v>240</v>
      </c>
      <c r="D57" s="32">
        <v>1</v>
      </c>
      <c r="E57" s="33" t="s">
        <v>333</v>
      </c>
      <c r="F57" s="10" t="s">
        <v>392</v>
      </c>
      <c r="G57" s="34" t="s">
        <v>393</v>
      </c>
      <c r="H57" s="32" t="s">
        <v>350</v>
      </c>
      <c r="I57" s="33">
        <v>0</v>
      </c>
      <c r="J57" s="74">
        <v>19680.97</v>
      </c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</row>
    <row r="58" spans="1:42" x14ac:dyDescent="0.3">
      <c r="A58" s="32">
        <v>12</v>
      </c>
      <c r="B58" s="38" t="s">
        <v>239</v>
      </c>
      <c r="C58" s="38" t="s">
        <v>240</v>
      </c>
      <c r="D58" s="38">
        <v>2</v>
      </c>
      <c r="E58" s="39" t="s">
        <v>335</v>
      </c>
      <c r="F58" s="18" t="s">
        <v>394</v>
      </c>
      <c r="G58" s="41" t="s">
        <v>394</v>
      </c>
      <c r="H58" s="38" t="s">
        <v>338</v>
      </c>
      <c r="I58" s="33">
        <v>0</v>
      </c>
      <c r="J58" s="74">
        <v>61.65</v>
      </c>
      <c r="K58" s="67">
        <v>61.65</v>
      </c>
      <c r="L58" s="67">
        <v>61.65</v>
      </c>
      <c r="M58" s="67">
        <v>61.65</v>
      </c>
      <c r="N58" s="67">
        <v>61.65</v>
      </c>
      <c r="O58" s="67">
        <v>61.65</v>
      </c>
      <c r="P58" s="67">
        <v>61.65</v>
      </c>
      <c r="Q58" s="67">
        <v>61.65</v>
      </c>
      <c r="R58" s="67">
        <v>61.65</v>
      </c>
      <c r="S58" s="67">
        <v>61.65</v>
      </c>
      <c r="T58" s="67">
        <v>61.65</v>
      </c>
      <c r="U58" s="67">
        <v>61.65</v>
      </c>
      <c r="V58" s="67">
        <v>61.65</v>
      </c>
      <c r="W58" s="67">
        <v>61.65</v>
      </c>
      <c r="X58" s="67">
        <v>61.65</v>
      </c>
      <c r="Y58" s="67">
        <v>61.65</v>
      </c>
      <c r="Z58" s="67">
        <v>61.65</v>
      </c>
      <c r="AA58" s="67">
        <v>61.65</v>
      </c>
      <c r="AB58" s="67">
        <v>61.65</v>
      </c>
      <c r="AC58" s="67">
        <v>61.65</v>
      </c>
      <c r="AD58" s="67">
        <v>61.65</v>
      </c>
      <c r="AE58" s="67">
        <v>61.65</v>
      </c>
      <c r="AF58" s="67">
        <v>61.65</v>
      </c>
      <c r="AG58" s="67">
        <v>61.65</v>
      </c>
      <c r="AH58" s="67">
        <v>61.65</v>
      </c>
      <c r="AI58" s="67">
        <v>61.65</v>
      </c>
      <c r="AJ58" s="67">
        <v>61.65</v>
      </c>
      <c r="AK58" s="67">
        <v>61.65</v>
      </c>
      <c r="AL58" s="67">
        <v>61.65</v>
      </c>
      <c r="AM58" s="67">
        <v>61.65</v>
      </c>
      <c r="AN58" s="67">
        <v>61.65</v>
      </c>
      <c r="AO58" s="67">
        <v>61.65</v>
      </c>
      <c r="AP58" s="67">
        <v>61.65</v>
      </c>
    </row>
    <row r="59" spans="1:42" x14ac:dyDescent="0.3">
      <c r="A59" s="32">
        <v>12</v>
      </c>
      <c r="B59" s="38" t="s">
        <v>239</v>
      </c>
      <c r="C59" s="38" t="s">
        <v>240</v>
      </c>
      <c r="D59" s="38">
        <v>3</v>
      </c>
      <c r="E59" s="39" t="s">
        <v>339</v>
      </c>
      <c r="F59" s="18" t="s">
        <v>395</v>
      </c>
      <c r="G59" s="41" t="s">
        <v>396</v>
      </c>
      <c r="H59" s="38" t="s">
        <v>338</v>
      </c>
      <c r="I59" s="33">
        <v>0</v>
      </c>
      <c r="J59" s="74">
        <v>130476.21999999999</v>
      </c>
      <c r="K59" s="67">
        <v>125909.55229999998</v>
      </c>
      <c r="L59" s="67">
        <v>121502.71796949998</v>
      </c>
      <c r="M59" s="67">
        <v>117250.12284056748</v>
      </c>
      <c r="N59" s="67">
        <v>113146.36854114762</v>
      </c>
      <c r="O59" s="67">
        <v>109186.24564220745</v>
      </c>
      <c r="P59" s="67">
        <v>105364.72704473019</v>
      </c>
      <c r="Q59" s="67">
        <v>101676.96159816462</v>
      </c>
      <c r="R59" s="67">
        <v>98118.267942228849</v>
      </c>
      <c r="S59" s="67">
        <v>94144.478090568577</v>
      </c>
      <c r="T59" s="67">
        <v>89813.832098402432</v>
      </c>
      <c r="U59" s="67">
        <v>85188.419745334715</v>
      </c>
      <c r="V59" s="67">
        <v>80332.679819850644</v>
      </c>
      <c r="W59" s="67">
        <v>75311.887331110003</v>
      </c>
      <c r="X59" s="67">
        <v>70604.894372915645</v>
      </c>
      <c r="Y59" s="67">
        <v>66192.088474608434</v>
      </c>
      <c r="Z59" s="67">
        <v>62055.082944945425</v>
      </c>
      <c r="AA59" s="67">
        <v>58176.64026088635</v>
      </c>
      <c r="AB59" s="67">
        <v>54540.600244580964</v>
      </c>
      <c r="AC59" s="67">
        <v>51131.812729294666</v>
      </c>
      <c r="AD59" s="67">
        <v>46913.438179127865</v>
      </c>
      <c r="AE59" s="67">
        <v>42104.810765767266</v>
      </c>
      <c r="AF59" s="67">
        <v>36946.971446960786</v>
      </c>
      <c r="AG59" s="67">
        <v>32420.967444708094</v>
      </c>
      <c r="AH59" s="67">
        <v>28449.398932731357</v>
      </c>
      <c r="AI59" s="67">
        <v>24964.347563471772</v>
      </c>
      <c r="AJ59" s="67">
        <v>21906.214986946485</v>
      </c>
      <c r="AK59" s="67">
        <v>18127.392901698218</v>
      </c>
      <c r="AL59" s="67">
        <v>14094.047981070365</v>
      </c>
      <c r="AM59" s="67">
        <v>10253.419906228692</v>
      </c>
      <c r="AN59" s="67">
        <v>6946.6919864699385</v>
      </c>
      <c r="AO59" s="67">
        <v>4359.0492215098857</v>
      </c>
      <c r="AP59" s="67">
        <v>2517.3509254219584</v>
      </c>
    </row>
    <row r="60" spans="1:42" x14ac:dyDescent="0.3">
      <c r="A60" s="32">
        <v>12</v>
      </c>
      <c r="B60" s="38" t="s">
        <v>239</v>
      </c>
      <c r="C60" s="38" t="s">
        <v>240</v>
      </c>
      <c r="D60" s="38">
        <v>4</v>
      </c>
      <c r="E60" s="39" t="s">
        <v>340</v>
      </c>
      <c r="F60" s="18" t="s">
        <v>354</v>
      </c>
      <c r="G60" s="41"/>
      <c r="H60" s="38" t="s">
        <v>334</v>
      </c>
      <c r="I60" s="33">
        <v>0</v>
      </c>
      <c r="J60" s="74" t="s">
        <v>354</v>
      </c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</row>
    <row r="61" spans="1:42" x14ac:dyDescent="0.3">
      <c r="A61" s="32">
        <v>12</v>
      </c>
      <c r="B61" s="38" t="s">
        <v>239</v>
      </c>
      <c r="C61" s="38" t="s">
        <v>240</v>
      </c>
      <c r="D61" s="38">
        <v>5</v>
      </c>
      <c r="E61" s="39" t="s">
        <v>343</v>
      </c>
      <c r="F61" s="18" t="s">
        <v>354</v>
      </c>
      <c r="G61" s="41"/>
      <c r="H61" s="38" t="s">
        <v>334</v>
      </c>
      <c r="I61" s="33">
        <v>0</v>
      </c>
      <c r="J61" s="74" t="s">
        <v>354</v>
      </c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</row>
    <row r="62" spans="1:42" x14ac:dyDescent="0.3">
      <c r="A62" s="4">
        <v>13</v>
      </c>
      <c r="B62" s="40" t="s">
        <v>241</v>
      </c>
      <c r="C62" s="40" t="s">
        <v>242</v>
      </c>
      <c r="D62" s="40">
        <v>1</v>
      </c>
      <c r="E62" s="25" t="s">
        <v>333</v>
      </c>
      <c r="F62" s="42" t="s">
        <v>400</v>
      </c>
      <c r="G62" s="43" t="s">
        <v>393</v>
      </c>
      <c r="H62" s="40" t="s">
        <v>350</v>
      </c>
      <c r="I62" s="29">
        <v>0</v>
      </c>
      <c r="J62" s="73">
        <v>1.4</v>
      </c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</row>
    <row r="63" spans="1:42" x14ac:dyDescent="0.3">
      <c r="A63" s="4">
        <v>13</v>
      </c>
      <c r="B63" s="40" t="s">
        <v>241</v>
      </c>
      <c r="C63" s="40" t="s">
        <v>242</v>
      </c>
      <c r="D63" s="40">
        <v>2</v>
      </c>
      <c r="E63" s="25" t="s">
        <v>335</v>
      </c>
      <c r="F63" s="23" t="s">
        <v>394</v>
      </c>
      <c r="G63" s="43" t="s">
        <v>394</v>
      </c>
      <c r="H63" s="40" t="s">
        <v>338</v>
      </c>
      <c r="I63" s="29">
        <v>0</v>
      </c>
      <c r="J63" s="73">
        <v>61.65</v>
      </c>
      <c r="K63" s="67">
        <v>61.65</v>
      </c>
      <c r="L63" s="67">
        <v>61.65</v>
      </c>
      <c r="M63" s="67">
        <v>61.65</v>
      </c>
      <c r="N63" s="67">
        <v>61.65</v>
      </c>
      <c r="O63" s="67">
        <v>61.65</v>
      </c>
      <c r="P63" s="67">
        <v>61.65</v>
      </c>
      <c r="Q63" s="67">
        <v>61.65</v>
      </c>
      <c r="R63" s="67">
        <v>61.65</v>
      </c>
      <c r="S63" s="67">
        <v>61.65</v>
      </c>
      <c r="T63" s="67">
        <v>61.65</v>
      </c>
      <c r="U63" s="67">
        <v>61.65</v>
      </c>
      <c r="V63" s="67">
        <v>61.65</v>
      </c>
      <c r="W63" s="67">
        <v>61.65</v>
      </c>
      <c r="X63" s="67">
        <v>61.65</v>
      </c>
      <c r="Y63" s="67">
        <v>61.65</v>
      </c>
      <c r="Z63" s="67">
        <v>61.65</v>
      </c>
      <c r="AA63" s="67">
        <v>61.65</v>
      </c>
      <c r="AB63" s="67">
        <v>61.65</v>
      </c>
      <c r="AC63" s="67">
        <v>61.65</v>
      </c>
      <c r="AD63" s="67">
        <v>61.65</v>
      </c>
      <c r="AE63" s="67">
        <v>61.65</v>
      </c>
      <c r="AF63" s="67">
        <v>61.65</v>
      </c>
      <c r="AG63" s="67">
        <v>61.65</v>
      </c>
      <c r="AH63" s="67">
        <v>61.65</v>
      </c>
      <c r="AI63" s="67">
        <v>61.65</v>
      </c>
      <c r="AJ63" s="67">
        <v>61.65</v>
      </c>
      <c r="AK63" s="67">
        <v>61.65</v>
      </c>
      <c r="AL63" s="67">
        <v>61.65</v>
      </c>
      <c r="AM63" s="67">
        <v>61.65</v>
      </c>
      <c r="AN63" s="67">
        <v>61.65</v>
      </c>
      <c r="AO63" s="67">
        <v>61.65</v>
      </c>
      <c r="AP63" s="67">
        <v>61.65</v>
      </c>
    </row>
    <row r="64" spans="1:42" x14ac:dyDescent="0.3">
      <c r="A64" s="4">
        <v>13</v>
      </c>
      <c r="B64" s="40" t="s">
        <v>241</v>
      </c>
      <c r="C64" s="40" t="s">
        <v>242</v>
      </c>
      <c r="D64" s="40">
        <v>3</v>
      </c>
      <c r="E64" s="25" t="s">
        <v>339</v>
      </c>
      <c r="F64" s="23" t="s">
        <v>395</v>
      </c>
      <c r="G64" s="43" t="s">
        <v>396</v>
      </c>
      <c r="H64" s="40" t="s">
        <v>338</v>
      </c>
      <c r="I64" s="29">
        <v>0</v>
      </c>
      <c r="J64" s="73">
        <v>170968.84</v>
      </c>
      <c r="K64" s="67">
        <v>164984.93059999999</v>
      </c>
      <c r="L64" s="67">
        <v>159210.458029</v>
      </c>
      <c r="M64" s="67">
        <v>153638.091997985</v>
      </c>
      <c r="N64" s="67">
        <v>148260.75877805552</v>
      </c>
      <c r="O64" s="67">
        <v>143071.63222082358</v>
      </c>
      <c r="P64" s="67">
        <v>138064.12509309474</v>
      </c>
      <c r="Q64" s="67">
        <v>133231.88071483641</v>
      </c>
      <c r="R64" s="67">
        <v>128568.76488981713</v>
      </c>
      <c r="S64" s="67">
        <v>123361.72991177953</v>
      </c>
      <c r="T64" s="67">
        <v>117687.09033583768</v>
      </c>
      <c r="U64" s="67">
        <v>111626.20518354206</v>
      </c>
      <c r="V64" s="67">
        <v>105263.51148808018</v>
      </c>
      <c r="W64" s="67">
        <v>98684.542020075198</v>
      </c>
      <c r="X64" s="67">
        <v>92516.758143820523</v>
      </c>
      <c r="Y64" s="67">
        <v>86734.460759831767</v>
      </c>
      <c r="Z64" s="67">
        <v>81313.556962342307</v>
      </c>
      <c r="AA64" s="67">
        <v>76231.459652195932</v>
      </c>
      <c r="AB64" s="67">
        <v>71466.993423933702</v>
      </c>
      <c r="AC64" s="67">
        <v>67000.306334937864</v>
      </c>
      <c r="AD64" s="67">
        <v>61472.781062305505</v>
      </c>
      <c r="AE64" s="67">
        <v>55171.821003419202</v>
      </c>
      <c r="AF64" s="67">
        <v>48413.27293050036</v>
      </c>
      <c r="AG64" s="67">
        <v>42482.646996514071</v>
      </c>
      <c r="AH64" s="67">
        <v>37278.522739441105</v>
      </c>
      <c r="AI64" s="67">
        <v>32711.903703859574</v>
      </c>
      <c r="AJ64" s="67">
        <v>28704.695500136782</v>
      </c>
      <c r="AK64" s="67">
        <v>23753.135526363192</v>
      </c>
      <c r="AL64" s="67">
        <v>18468.062871747385</v>
      </c>
      <c r="AM64" s="67">
        <v>13435.515739196224</v>
      </c>
      <c r="AN64" s="67">
        <v>9102.5619133054424</v>
      </c>
      <c r="AO64" s="67">
        <v>5711.8576005991645</v>
      </c>
      <c r="AP64" s="67">
        <v>3298.5977643460169</v>
      </c>
    </row>
    <row r="65" spans="1:42" x14ac:dyDescent="0.3">
      <c r="A65" s="4">
        <v>13</v>
      </c>
      <c r="B65" s="40" t="s">
        <v>241</v>
      </c>
      <c r="C65" s="40" t="s">
        <v>242</v>
      </c>
      <c r="D65" s="40">
        <v>4</v>
      </c>
      <c r="E65" s="25" t="s">
        <v>340</v>
      </c>
      <c r="F65" s="42"/>
      <c r="G65" s="43"/>
      <c r="H65" s="40" t="s">
        <v>334</v>
      </c>
      <c r="I65" s="29">
        <v>0</v>
      </c>
      <c r="J65" s="73" t="s">
        <v>354</v>
      </c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</row>
    <row r="66" spans="1:42" x14ac:dyDescent="0.3">
      <c r="A66" s="4">
        <v>13</v>
      </c>
      <c r="B66" s="40" t="s">
        <v>241</v>
      </c>
      <c r="C66" s="40" t="s">
        <v>242</v>
      </c>
      <c r="D66" s="40">
        <v>5</v>
      </c>
      <c r="E66" s="25" t="s">
        <v>343</v>
      </c>
      <c r="F66" s="42"/>
      <c r="G66" s="43"/>
      <c r="H66" s="40" t="s">
        <v>334</v>
      </c>
      <c r="I66" s="29">
        <v>0</v>
      </c>
      <c r="J66" s="73" t="s">
        <v>354</v>
      </c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</row>
    <row r="67" spans="1:42" x14ac:dyDescent="0.3">
      <c r="A67" s="32">
        <v>14</v>
      </c>
      <c r="B67" s="38" t="s">
        <v>244</v>
      </c>
      <c r="C67" s="38" t="s">
        <v>245</v>
      </c>
      <c r="D67" s="38">
        <v>1</v>
      </c>
      <c r="E67" s="39" t="s">
        <v>333</v>
      </c>
      <c r="F67" s="32" t="s">
        <v>400</v>
      </c>
      <c r="G67" s="32" t="s">
        <v>393</v>
      </c>
      <c r="H67" s="32" t="s">
        <v>398</v>
      </c>
      <c r="I67" s="33">
        <v>0</v>
      </c>
      <c r="J67" s="74">
        <v>2</v>
      </c>
      <c r="K67" s="67">
        <v>0.95544531315097936</v>
      </c>
      <c r="L67" s="67">
        <v>0.91089062630195894</v>
      </c>
      <c r="M67" s="67">
        <v>0.8663359394529383</v>
      </c>
      <c r="N67" s="67">
        <v>0.82178125260391788</v>
      </c>
      <c r="O67" s="67">
        <v>0.80693104520503123</v>
      </c>
      <c r="P67" s="67">
        <v>0.79207880547996434</v>
      </c>
      <c r="Q67" s="67">
        <v>0.77227785150605521</v>
      </c>
      <c r="R67" s="67">
        <v>0.75247486520596607</v>
      </c>
      <c r="S67" s="67">
        <v>0.73267187890587682</v>
      </c>
      <c r="T67" s="67">
        <v>0.7128709249319678</v>
      </c>
      <c r="U67" s="67">
        <v>0.70296943178192328</v>
      </c>
      <c r="V67" s="67">
        <v>0.69306793863187854</v>
      </c>
      <c r="W67" s="67">
        <v>0.69140549581645649</v>
      </c>
      <c r="X67" s="67">
        <v>0.68974305300103445</v>
      </c>
      <c r="Y67" s="67">
        <v>0.68807857785943216</v>
      </c>
      <c r="Z67" s="67">
        <v>0.68641613504400989</v>
      </c>
      <c r="AA67" s="67">
        <v>0.68475165990240772</v>
      </c>
      <c r="AB67" s="67">
        <v>0.68308921708698556</v>
      </c>
      <c r="AC67" s="67">
        <v>0.68142474194538316</v>
      </c>
      <c r="AD67" s="67">
        <v>0.67976229912996111</v>
      </c>
      <c r="AE67" s="67">
        <v>0.67809782398835883</v>
      </c>
      <c r="AF67" s="67">
        <v>0.67643538117293667</v>
      </c>
      <c r="AG67" s="67">
        <v>0.67477090603133438</v>
      </c>
      <c r="AH67" s="67">
        <v>0.67310846321591233</v>
      </c>
      <c r="AI67" s="67">
        <v>0.67144602040049017</v>
      </c>
      <c r="AJ67" s="67">
        <v>0.66978154525888778</v>
      </c>
      <c r="AK67" s="67">
        <v>0.66811910244346573</v>
      </c>
      <c r="AL67" s="67">
        <v>0.66645462730186344</v>
      </c>
      <c r="AM67" s="67">
        <v>0.66479218448644128</v>
      </c>
      <c r="AN67" s="67">
        <v>0.663127709344839</v>
      </c>
      <c r="AO67" s="67">
        <v>0.66146526652941684</v>
      </c>
      <c r="AP67" s="67">
        <v>0.65980079138781456</v>
      </c>
    </row>
    <row r="68" spans="1:42" x14ac:dyDescent="0.3">
      <c r="A68" s="32">
        <v>14</v>
      </c>
      <c r="B68" s="38" t="s">
        <v>244</v>
      </c>
      <c r="C68" s="38" t="s">
        <v>245</v>
      </c>
      <c r="D68" s="38">
        <v>2</v>
      </c>
      <c r="E68" s="39" t="s">
        <v>335</v>
      </c>
      <c r="F68" s="32" t="s">
        <v>394</v>
      </c>
      <c r="G68" s="32" t="s">
        <v>394</v>
      </c>
      <c r="H68" s="32" t="s">
        <v>338</v>
      </c>
      <c r="I68" s="33">
        <v>0</v>
      </c>
      <c r="J68" s="74">
        <v>20.3445</v>
      </c>
      <c r="K68" s="67">
        <v>20.3445</v>
      </c>
      <c r="L68" s="67">
        <v>20.3445</v>
      </c>
      <c r="M68" s="67">
        <v>20.3445</v>
      </c>
      <c r="N68" s="67">
        <v>20.3445</v>
      </c>
      <c r="O68" s="67">
        <v>20.3445</v>
      </c>
      <c r="P68" s="67">
        <v>20.3445</v>
      </c>
      <c r="Q68" s="67">
        <v>20.3445</v>
      </c>
      <c r="R68" s="67">
        <v>20.3445</v>
      </c>
      <c r="S68" s="67">
        <v>20.3445</v>
      </c>
      <c r="T68" s="67">
        <v>20.3445</v>
      </c>
      <c r="U68" s="67">
        <v>20.3445</v>
      </c>
      <c r="V68" s="67">
        <v>20.3445</v>
      </c>
      <c r="W68" s="67">
        <v>20.3445</v>
      </c>
      <c r="X68" s="67">
        <v>20.3445</v>
      </c>
      <c r="Y68" s="67">
        <v>20.3445</v>
      </c>
      <c r="Z68" s="67">
        <v>20.3445</v>
      </c>
      <c r="AA68" s="67">
        <v>20.3445</v>
      </c>
      <c r="AB68" s="67">
        <v>20.3445</v>
      </c>
      <c r="AC68" s="67">
        <v>20.3445</v>
      </c>
      <c r="AD68" s="67">
        <v>20.3445</v>
      </c>
      <c r="AE68" s="67">
        <v>20.3445</v>
      </c>
      <c r="AF68" s="67">
        <v>20.3445</v>
      </c>
      <c r="AG68" s="67">
        <v>20.3445</v>
      </c>
      <c r="AH68" s="67">
        <v>20.3445</v>
      </c>
      <c r="AI68" s="67">
        <v>20.3445</v>
      </c>
      <c r="AJ68" s="67">
        <v>20.3445</v>
      </c>
      <c r="AK68" s="67">
        <v>20.3445</v>
      </c>
      <c r="AL68" s="67">
        <v>20.3445</v>
      </c>
      <c r="AM68" s="67">
        <v>20.3445</v>
      </c>
      <c r="AN68" s="67">
        <v>20.3445</v>
      </c>
      <c r="AO68" s="67">
        <v>20.3445</v>
      </c>
      <c r="AP68" s="67">
        <v>20.3445</v>
      </c>
    </row>
    <row r="69" spans="1:42" x14ac:dyDescent="0.3">
      <c r="A69" s="32">
        <v>14</v>
      </c>
      <c r="B69" s="38" t="s">
        <v>244</v>
      </c>
      <c r="C69" s="38" t="s">
        <v>245</v>
      </c>
      <c r="D69" s="38">
        <v>3</v>
      </c>
      <c r="E69" s="39" t="s">
        <v>339</v>
      </c>
      <c r="F69" s="32" t="s">
        <v>395</v>
      </c>
      <c r="G69" s="41" t="s">
        <v>396</v>
      </c>
      <c r="H69" s="38" t="s">
        <v>334</v>
      </c>
      <c r="I69" s="33">
        <v>0</v>
      </c>
      <c r="J69" s="74" t="s">
        <v>354</v>
      </c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</row>
    <row r="70" spans="1:42" x14ac:dyDescent="0.3">
      <c r="A70" s="32">
        <v>14</v>
      </c>
      <c r="B70" s="38" t="s">
        <v>244</v>
      </c>
      <c r="C70" s="38" t="s">
        <v>245</v>
      </c>
      <c r="D70" s="38">
        <v>4</v>
      </c>
      <c r="E70" s="39" t="s">
        <v>340</v>
      </c>
      <c r="F70" s="44"/>
      <c r="G70" s="41"/>
      <c r="H70" s="38" t="s">
        <v>334</v>
      </c>
      <c r="I70" s="33">
        <v>0</v>
      </c>
      <c r="J70" s="74" t="s">
        <v>354</v>
      </c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</row>
    <row r="71" spans="1:42" x14ac:dyDescent="0.3">
      <c r="A71" s="32">
        <v>14</v>
      </c>
      <c r="B71" s="38" t="s">
        <v>244</v>
      </c>
      <c r="C71" s="38" t="s">
        <v>245</v>
      </c>
      <c r="D71" s="38">
        <v>5</v>
      </c>
      <c r="E71" s="39" t="s">
        <v>343</v>
      </c>
      <c r="F71" s="44"/>
      <c r="G71" s="41"/>
      <c r="H71" s="38" t="s">
        <v>334</v>
      </c>
      <c r="I71" s="33">
        <v>0</v>
      </c>
      <c r="J71" s="74" t="s">
        <v>354</v>
      </c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</row>
    <row r="72" spans="1:42" x14ac:dyDescent="0.3">
      <c r="A72" s="4">
        <v>15</v>
      </c>
      <c r="B72" s="40" t="s">
        <v>246</v>
      </c>
      <c r="C72" s="40" t="s">
        <v>247</v>
      </c>
      <c r="D72" s="40">
        <v>1</v>
      </c>
      <c r="E72" s="25" t="s">
        <v>333</v>
      </c>
      <c r="F72" s="23" t="s">
        <v>392</v>
      </c>
      <c r="G72" s="43" t="s">
        <v>393</v>
      </c>
      <c r="H72" s="40" t="s">
        <v>350</v>
      </c>
      <c r="I72" s="29">
        <v>0</v>
      </c>
      <c r="J72" s="73">
        <v>19680.97</v>
      </c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</row>
    <row r="73" spans="1:42" x14ac:dyDescent="0.3">
      <c r="A73" s="4">
        <v>15</v>
      </c>
      <c r="B73" s="40" t="s">
        <v>246</v>
      </c>
      <c r="C73" s="40" t="s">
        <v>247</v>
      </c>
      <c r="D73" s="40">
        <v>2</v>
      </c>
      <c r="E73" s="25" t="s">
        <v>335</v>
      </c>
      <c r="F73" s="23" t="s">
        <v>394</v>
      </c>
      <c r="G73" s="43" t="s">
        <v>394</v>
      </c>
      <c r="H73" s="40" t="s">
        <v>338</v>
      </c>
      <c r="I73" s="29">
        <v>0</v>
      </c>
      <c r="J73" s="73">
        <v>61.65</v>
      </c>
      <c r="K73" s="67">
        <v>61.65</v>
      </c>
      <c r="L73" s="67">
        <v>61.65</v>
      </c>
      <c r="M73" s="67">
        <v>61.65</v>
      </c>
      <c r="N73" s="67">
        <v>61.65</v>
      </c>
      <c r="O73" s="67">
        <v>61.65</v>
      </c>
      <c r="P73" s="67">
        <v>61.65</v>
      </c>
      <c r="Q73" s="67">
        <v>61.65</v>
      </c>
      <c r="R73" s="67">
        <v>61.65</v>
      </c>
      <c r="S73" s="67">
        <v>61.65</v>
      </c>
      <c r="T73" s="67">
        <v>61.65</v>
      </c>
      <c r="U73" s="67">
        <v>61.65</v>
      </c>
      <c r="V73" s="67">
        <v>61.65</v>
      </c>
      <c r="W73" s="67">
        <v>61.65</v>
      </c>
      <c r="X73" s="67">
        <v>61.65</v>
      </c>
      <c r="Y73" s="67">
        <v>61.65</v>
      </c>
      <c r="Z73" s="67">
        <v>61.65</v>
      </c>
      <c r="AA73" s="67">
        <v>61.65</v>
      </c>
      <c r="AB73" s="67">
        <v>61.65</v>
      </c>
      <c r="AC73" s="67">
        <v>61.65</v>
      </c>
      <c r="AD73" s="67">
        <v>61.65</v>
      </c>
      <c r="AE73" s="67">
        <v>61.65</v>
      </c>
      <c r="AF73" s="67">
        <v>61.65</v>
      </c>
      <c r="AG73" s="67">
        <v>61.65</v>
      </c>
      <c r="AH73" s="67">
        <v>61.65</v>
      </c>
      <c r="AI73" s="67">
        <v>61.65</v>
      </c>
      <c r="AJ73" s="67">
        <v>61.65</v>
      </c>
      <c r="AK73" s="67">
        <v>61.65</v>
      </c>
      <c r="AL73" s="67">
        <v>61.65</v>
      </c>
      <c r="AM73" s="67">
        <v>61.65</v>
      </c>
      <c r="AN73" s="67">
        <v>61.65</v>
      </c>
      <c r="AO73" s="67">
        <v>61.65</v>
      </c>
      <c r="AP73" s="67">
        <v>61.65</v>
      </c>
    </row>
    <row r="74" spans="1:42" x14ac:dyDescent="0.3">
      <c r="A74" s="4">
        <v>15</v>
      </c>
      <c r="B74" s="40" t="s">
        <v>246</v>
      </c>
      <c r="C74" s="40" t="s">
        <v>247</v>
      </c>
      <c r="D74" s="40">
        <v>3</v>
      </c>
      <c r="E74" s="25" t="s">
        <v>339</v>
      </c>
      <c r="F74" s="23" t="s">
        <v>395</v>
      </c>
      <c r="G74" s="43" t="s">
        <v>396</v>
      </c>
      <c r="H74" s="40" t="s">
        <v>338</v>
      </c>
      <c r="I74" s="29">
        <v>0</v>
      </c>
      <c r="J74" s="73">
        <v>35993.440000000002</v>
      </c>
      <c r="K74" s="67">
        <v>34733.669600000001</v>
      </c>
      <c r="L74" s="67">
        <v>33517.991163999999</v>
      </c>
      <c r="M74" s="67">
        <v>32344.86147326</v>
      </c>
      <c r="N74" s="67">
        <v>31212.791321695899</v>
      </c>
      <c r="O74" s="67">
        <v>30120.343625436541</v>
      </c>
      <c r="P74" s="67">
        <v>29066.131598546261</v>
      </c>
      <c r="Q74" s="67">
        <v>28048.816992597142</v>
      </c>
      <c r="R74" s="67">
        <v>27067.108397856242</v>
      </c>
      <c r="S74" s="67">
        <v>25970.890507743065</v>
      </c>
      <c r="T74" s="67">
        <v>24776.229544386886</v>
      </c>
      <c r="U74" s="67">
        <v>23500.253722850965</v>
      </c>
      <c r="V74" s="67">
        <v>22160.739260648465</v>
      </c>
      <c r="W74" s="67">
        <v>20775.693056857941</v>
      </c>
      <c r="X74" s="67">
        <v>19477.212240804325</v>
      </c>
      <c r="Y74" s="67">
        <v>18259.886475754058</v>
      </c>
      <c r="Z74" s="67">
        <v>17118.643571019435</v>
      </c>
      <c r="AA74" s="67">
        <v>16048.728347830724</v>
      </c>
      <c r="AB74" s="67">
        <v>15045.682826091306</v>
      </c>
      <c r="AC74" s="67">
        <v>14105.327649460603</v>
      </c>
      <c r="AD74" s="67">
        <v>12941.638118380106</v>
      </c>
      <c r="AE74" s="67">
        <v>11615.120211246147</v>
      </c>
      <c r="AF74" s="67">
        <v>10192.267985368497</v>
      </c>
      <c r="AG74" s="67">
        <v>8943.7151571608574</v>
      </c>
      <c r="AH74" s="67">
        <v>7848.1100504086535</v>
      </c>
      <c r="AI74" s="67">
        <v>6886.7165692335948</v>
      </c>
      <c r="AJ74" s="67">
        <v>6043.0937895024808</v>
      </c>
      <c r="AK74" s="67">
        <v>5000.6601108133036</v>
      </c>
      <c r="AL74" s="67">
        <v>3888.0132361573442</v>
      </c>
      <c r="AM74" s="67">
        <v>2828.529629304468</v>
      </c>
      <c r="AN74" s="67">
        <v>1916.3288238537771</v>
      </c>
      <c r="AO74" s="67">
        <v>1202.496336968245</v>
      </c>
      <c r="AP74" s="67">
        <v>694.44163459916138</v>
      </c>
    </row>
    <row r="75" spans="1:42" x14ac:dyDescent="0.3">
      <c r="A75" s="4">
        <v>15</v>
      </c>
      <c r="B75" s="40" t="s">
        <v>246</v>
      </c>
      <c r="C75" s="40" t="s">
        <v>247</v>
      </c>
      <c r="D75" s="40">
        <v>4</v>
      </c>
      <c r="E75" s="25" t="s">
        <v>340</v>
      </c>
      <c r="F75" s="42"/>
      <c r="G75" s="43"/>
      <c r="H75" s="40" t="s">
        <v>334</v>
      </c>
      <c r="I75" s="29">
        <v>0</v>
      </c>
      <c r="J75" s="73" t="s">
        <v>354</v>
      </c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</row>
    <row r="76" spans="1:42" x14ac:dyDescent="0.3">
      <c r="A76" s="4">
        <v>15</v>
      </c>
      <c r="B76" s="40" t="s">
        <v>246</v>
      </c>
      <c r="C76" s="40" t="s">
        <v>247</v>
      </c>
      <c r="D76" s="40">
        <v>5</v>
      </c>
      <c r="E76" s="25" t="s">
        <v>343</v>
      </c>
      <c r="F76" s="42"/>
      <c r="G76" s="43"/>
      <c r="H76" s="40" t="s">
        <v>334</v>
      </c>
      <c r="I76" s="29">
        <v>0</v>
      </c>
      <c r="J76" s="73" t="s">
        <v>354</v>
      </c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</row>
    <row r="77" spans="1:42" x14ac:dyDescent="0.3">
      <c r="A77" s="32">
        <v>16</v>
      </c>
      <c r="B77" s="38" t="s">
        <v>248</v>
      </c>
      <c r="C77" s="38" t="s">
        <v>249</v>
      </c>
      <c r="D77" s="38">
        <v>1</v>
      </c>
      <c r="E77" s="39" t="s">
        <v>333</v>
      </c>
      <c r="F77" s="24" t="s">
        <v>392</v>
      </c>
      <c r="G77" s="41" t="s">
        <v>393</v>
      </c>
      <c r="H77" s="38" t="s">
        <v>350</v>
      </c>
      <c r="I77" s="33">
        <v>0</v>
      </c>
      <c r="J77" s="74">
        <v>106586.06</v>
      </c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</row>
    <row r="78" spans="1:42" x14ac:dyDescent="0.3">
      <c r="A78" s="32">
        <v>16</v>
      </c>
      <c r="B78" s="38" t="s">
        <v>248</v>
      </c>
      <c r="C78" s="38" t="s">
        <v>249</v>
      </c>
      <c r="D78" s="38">
        <v>2</v>
      </c>
      <c r="E78" s="39" t="s">
        <v>335</v>
      </c>
      <c r="F78" s="18" t="s">
        <v>394</v>
      </c>
      <c r="G78" s="41" t="s">
        <v>394</v>
      </c>
      <c r="H78" s="38" t="s">
        <v>338</v>
      </c>
      <c r="I78" s="33">
        <v>0</v>
      </c>
      <c r="J78" s="74">
        <v>171.78</v>
      </c>
      <c r="K78" s="67">
        <v>171.78</v>
      </c>
      <c r="L78" s="67">
        <v>171.78</v>
      </c>
      <c r="M78" s="67">
        <v>171.78</v>
      </c>
      <c r="N78" s="67">
        <v>171.78</v>
      </c>
      <c r="O78" s="67">
        <v>171.78</v>
      </c>
      <c r="P78" s="67">
        <v>171.78</v>
      </c>
      <c r="Q78" s="67">
        <v>171.78</v>
      </c>
      <c r="R78" s="67">
        <v>171.78</v>
      </c>
      <c r="S78" s="67">
        <v>171.78</v>
      </c>
      <c r="T78" s="67">
        <v>171.78</v>
      </c>
      <c r="U78" s="67">
        <v>171.78</v>
      </c>
      <c r="V78" s="67">
        <v>171.78</v>
      </c>
      <c r="W78" s="67">
        <v>171.78</v>
      </c>
      <c r="X78" s="67">
        <v>171.78</v>
      </c>
      <c r="Y78" s="67">
        <v>171.78</v>
      </c>
      <c r="Z78" s="67">
        <v>171.78</v>
      </c>
      <c r="AA78" s="67">
        <v>171.78</v>
      </c>
      <c r="AB78" s="67">
        <v>171.78</v>
      </c>
      <c r="AC78" s="67">
        <v>171.78</v>
      </c>
      <c r="AD78" s="67">
        <v>171.78</v>
      </c>
      <c r="AE78" s="67">
        <v>171.78</v>
      </c>
      <c r="AF78" s="67">
        <v>171.78</v>
      </c>
      <c r="AG78" s="67">
        <v>171.78</v>
      </c>
      <c r="AH78" s="67">
        <v>171.78</v>
      </c>
      <c r="AI78" s="67">
        <v>171.78</v>
      </c>
      <c r="AJ78" s="67">
        <v>171.78</v>
      </c>
      <c r="AK78" s="67">
        <v>171.78</v>
      </c>
      <c r="AL78" s="67">
        <v>171.78</v>
      </c>
      <c r="AM78" s="67">
        <v>171.78</v>
      </c>
      <c r="AN78" s="67">
        <v>171.78</v>
      </c>
      <c r="AO78" s="67">
        <v>171.78</v>
      </c>
      <c r="AP78" s="67">
        <v>171.78</v>
      </c>
    </row>
    <row r="79" spans="1:42" x14ac:dyDescent="0.3">
      <c r="A79" s="32">
        <v>16</v>
      </c>
      <c r="B79" s="38" t="s">
        <v>248</v>
      </c>
      <c r="C79" s="38" t="s">
        <v>249</v>
      </c>
      <c r="D79" s="38">
        <v>3</v>
      </c>
      <c r="E79" s="39" t="s">
        <v>339</v>
      </c>
      <c r="F79" s="18" t="s">
        <v>395</v>
      </c>
      <c r="G79" s="41" t="s">
        <v>396</v>
      </c>
      <c r="H79" s="38" t="s">
        <v>338</v>
      </c>
      <c r="I79" s="33">
        <v>0</v>
      </c>
      <c r="J79" s="74">
        <v>2033.6</v>
      </c>
      <c r="K79" s="67">
        <v>1962.4239999999998</v>
      </c>
      <c r="L79" s="67">
        <v>1893.7391599999996</v>
      </c>
      <c r="M79" s="67">
        <v>1827.4582893999996</v>
      </c>
      <c r="N79" s="67">
        <v>1763.4972492709994</v>
      </c>
      <c r="O79" s="67">
        <v>1701.7748455465144</v>
      </c>
      <c r="P79" s="67">
        <v>1642.2127259523863</v>
      </c>
      <c r="Q79" s="67">
        <v>1584.7352805440528</v>
      </c>
      <c r="R79" s="67">
        <v>1529.2695457250109</v>
      </c>
      <c r="S79" s="67">
        <v>1467.3341291231479</v>
      </c>
      <c r="T79" s="67">
        <v>1399.8367591834833</v>
      </c>
      <c r="U79" s="67">
        <v>1327.745166085534</v>
      </c>
      <c r="V79" s="67">
        <v>1252.0636916186588</v>
      </c>
      <c r="W79" s="67">
        <v>1173.8097108924928</v>
      </c>
      <c r="X79" s="67">
        <v>1100.4466039617123</v>
      </c>
      <c r="Y79" s="67">
        <v>1031.6686912141056</v>
      </c>
      <c r="Z79" s="67">
        <v>967.18939801322426</v>
      </c>
      <c r="AA79" s="67">
        <v>906.74006063739796</v>
      </c>
      <c r="AB79" s="67">
        <v>850.06880684756084</v>
      </c>
      <c r="AC79" s="67">
        <v>796.9395064195885</v>
      </c>
      <c r="AD79" s="67">
        <v>731.19199713997261</v>
      </c>
      <c r="AE79" s="67">
        <v>656.2448174331256</v>
      </c>
      <c r="AF79" s="67">
        <v>575.85482729756779</v>
      </c>
      <c r="AG79" s="67">
        <v>505.31261095361583</v>
      </c>
      <c r="AH79" s="67">
        <v>443.41181611179798</v>
      </c>
      <c r="AI79" s="67">
        <v>389.09386863810278</v>
      </c>
      <c r="AJ79" s="67">
        <v>341.42986972993526</v>
      </c>
      <c r="AK79" s="67">
        <v>282.5332172015215</v>
      </c>
      <c r="AL79" s="67">
        <v>219.66957637418298</v>
      </c>
      <c r="AM79" s="67">
        <v>159.80961681221814</v>
      </c>
      <c r="AN79" s="67">
        <v>108.27101539027778</v>
      </c>
      <c r="AO79" s="67">
        <v>67.940062157399296</v>
      </c>
      <c r="AP79" s="67">
        <v>39.235385895898084</v>
      </c>
    </row>
    <row r="80" spans="1:42" x14ac:dyDescent="0.3">
      <c r="A80" s="32">
        <v>16</v>
      </c>
      <c r="B80" s="38" t="s">
        <v>248</v>
      </c>
      <c r="C80" s="38" t="s">
        <v>249</v>
      </c>
      <c r="D80" s="38">
        <v>4</v>
      </c>
      <c r="E80" s="39" t="s">
        <v>340</v>
      </c>
      <c r="F80" s="18" t="s">
        <v>354</v>
      </c>
      <c r="G80" s="41"/>
      <c r="H80" s="38" t="s">
        <v>334</v>
      </c>
      <c r="I80" s="33">
        <v>0</v>
      </c>
      <c r="J80" s="74" t="s">
        <v>354</v>
      </c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</row>
    <row r="81" spans="1:42" x14ac:dyDescent="0.3">
      <c r="A81" s="32">
        <v>16</v>
      </c>
      <c r="B81" s="38" t="s">
        <v>248</v>
      </c>
      <c r="C81" s="38" t="s">
        <v>249</v>
      </c>
      <c r="D81" s="38">
        <v>5</v>
      </c>
      <c r="E81" s="39" t="s">
        <v>343</v>
      </c>
      <c r="F81" s="18" t="s">
        <v>354</v>
      </c>
      <c r="G81" s="41"/>
      <c r="H81" s="38" t="s">
        <v>334</v>
      </c>
      <c r="I81" s="33">
        <v>0</v>
      </c>
      <c r="J81" s="74" t="s">
        <v>354</v>
      </c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</row>
    <row r="82" spans="1:42" x14ac:dyDescent="0.3">
      <c r="A82" s="4">
        <v>17</v>
      </c>
      <c r="B82" s="40" t="s">
        <v>250</v>
      </c>
      <c r="C82" s="40" t="s">
        <v>251</v>
      </c>
      <c r="D82" s="40">
        <v>1</v>
      </c>
      <c r="E82" s="25" t="s">
        <v>333</v>
      </c>
      <c r="F82" s="23" t="s">
        <v>392</v>
      </c>
      <c r="G82" s="43" t="s">
        <v>393</v>
      </c>
      <c r="H82" s="40" t="s">
        <v>350</v>
      </c>
      <c r="I82" s="29">
        <v>0</v>
      </c>
      <c r="J82" s="73">
        <v>106586.06</v>
      </c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</row>
    <row r="83" spans="1:42" x14ac:dyDescent="0.3">
      <c r="A83" s="4">
        <v>17</v>
      </c>
      <c r="B83" s="40" t="s">
        <v>250</v>
      </c>
      <c r="C83" s="40" t="s">
        <v>251</v>
      </c>
      <c r="D83" s="40">
        <v>2</v>
      </c>
      <c r="E83" s="25" t="s">
        <v>335</v>
      </c>
      <c r="F83" s="23" t="s">
        <v>394</v>
      </c>
      <c r="G83" s="43" t="s">
        <v>394</v>
      </c>
      <c r="H83" s="40" t="s">
        <v>338</v>
      </c>
      <c r="I83" s="29">
        <v>0</v>
      </c>
      <c r="J83" s="73">
        <v>171.78</v>
      </c>
      <c r="K83" s="67">
        <v>171.78</v>
      </c>
      <c r="L83" s="67">
        <v>171.78</v>
      </c>
      <c r="M83" s="67">
        <v>171.78</v>
      </c>
      <c r="N83" s="67">
        <v>171.78</v>
      </c>
      <c r="O83" s="67">
        <v>171.78</v>
      </c>
      <c r="P83" s="67">
        <v>171.78</v>
      </c>
      <c r="Q83" s="67">
        <v>171.78</v>
      </c>
      <c r="R83" s="67">
        <v>171.78</v>
      </c>
      <c r="S83" s="67">
        <v>171.78</v>
      </c>
      <c r="T83" s="67">
        <v>171.78</v>
      </c>
      <c r="U83" s="67">
        <v>171.78</v>
      </c>
      <c r="V83" s="67">
        <v>171.78</v>
      </c>
      <c r="W83" s="67">
        <v>171.78</v>
      </c>
      <c r="X83" s="67">
        <v>171.78</v>
      </c>
      <c r="Y83" s="67">
        <v>171.78</v>
      </c>
      <c r="Z83" s="67">
        <v>171.78</v>
      </c>
      <c r="AA83" s="67">
        <v>171.78</v>
      </c>
      <c r="AB83" s="67">
        <v>171.78</v>
      </c>
      <c r="AC83" s="67">
        <v>171.78</v>
      </c>
      <c r="AD83" s="67">
        <v>171.78</v>
      </c>
      <c r="AE83" s="67">
        <v>171.78</v>
      </c>
      <c r="AF83" s="67">
        <v>171.78</v>
      </c>
      <c r="AG83" s="67">
        <v>171.78</v>
      </c>
      <c r="AH83" s="67">
        <v>171.78</v>
      </c>
      <c r="AI83" s="67">
        <v>171.78</v>
      </c>
      <c r="AJ83" s="67">
        <v>171.78</v>
      </c>
      <c r="AK83" s="67">
        <v>171.78</v>
      </c>
      <c r="AL83" s="67">
        <v>171.78</v>
      </c>
      <c r="AM83" s="67">
        <v>171.78</v>
      </c>
      <c r="AN83" s="67">
        <v>171.78</v>
      </c>
      <c r="AO83" s="67">
        <v>171.78</v>
      </c>
      <c r="AP83" s="67">
        <v>171.78</v>
      </c>
    </row>
    <row r="84" spans="1:42" x14ac:dyDescent="0.3">
      <c r="A84" s="4">
        <v>17</v>
      </c>
      <c r="B84" s="4" t="s">
        <v>250</v>
      </c>
      <c r="C84" s="4" t="s">
        <v>251</v>
      </c>
      <c r="D84" s="4">
        <v>3</v>
      </c>
      <c r="E84" s="29" t="s">
        <v>339</v>
      </c>
      <c r="F84" s="7" t="s">
        <v>395</v>
      </c>
      <c r="G84" s="30" t="s">
        <v>396</v>
      </c>
      <c r="H84" s="4" t="s">
        <v>338</v>
      </c>
      <c r="I84" s="29">
        <v>0</v>
      </c>
      <c r="J84" s="73">
        <v>2182.4</v>
      </c>
      <c r="K84" s="67">
        <v>2106.0160000000001</v>
      </c>
      <c r="L84" s="67">
        <v>2032.3054400000001</v>
      </c>
      <c r="M84" s="67">
        <v>1961.1747496</v>
      </c>
      <c r="N84" s="67">
        <v>1892.533633364</v>
      </c>
      <c r="O84" s="67">
        <v>1826.29495619626</v>
      </c>
      <c r="P84" s="67">
        <v>1762.3746327293909</v>
      </c>
      <c r="Q84" s="67">
        <v>1700.6915205838623</v>
      </c>
      <c r="R84" s="67">
        <v>1641.1673173634269</v>
      </c>
      <c r="S84" s="67">
        <v>1574.7000410102082</v>
      </c>
      <c r="T84" s="67">
        <v>1502.2638391237388</v>
      </c>
      <c r="U84" s="67">
        <v>1424.8972514088664</v>
      </c>
      <c r="V84" s="67">
        <v>1343.6781080785613</v>
      </c>
      <c r="W84" s="67">
        <v>1259.6982263236516</v>
      </c>
      <c r="X84" s="67">
        <v>1180.9670871784238</v>
      </c>
      <c r="Y84" s="67">
        <v>1107.1566442297726</v>
      </c>
      <c r="Z84" s="67">
        <v>1037.959353965412</v>
      </c>
      <c r="AA84" s="67">
        <v>973.08689434257394</v>
      </c>
      <c r="AB84" s="67">
        <v>912.2689634461633</v>
      </c>
      <c r="AC84" s="67">
        <v>855.25215323077828</v>
      </c>
      <c r="AD84" s="67">
        <v>784.69385058923922</v>
      </c>
      <c r="AE84" s="67">
        <v>704.26273090384234</v>
      </c>
      <c r="AF84" s="67">
        <v>617.99054636812173</v>
      </c>
      <c r="AG84" s="67">
        <v>542.28670443802696</v>
      </c>
      <c r="AH84" s="67">
        <v>475.85658314436876</v>
      </c>
      <c r="AI84" s="67">
        <v>417.56415170918365</v>
      </c>
      <c r="AJ84" s="67">
        <v>366.41254312480874</v>
      </c>
      <c r="AK84" s="67">
        <v>303.2063794357793</v>
      </c>
      <c r="AL84" s="67">
        <v>235.74296001131842</v>
      </c>
      <c r="AM84" s="67">
        <v>171.50300340823415</v>
      </c>
      <c r="AN84" s="67">
        <v>116.19328480907863</v>
      </c>
      <c r="AO84" s="67">
        <v>72.911286217696841</v>
      </c>
      <c r="AP84" s="67">
        <v>42.106267790719919</v>
      </c>
    </row>
    <row r="85" spans="1:42" x14ac:dyDescent="0.3">
      <c r="A85" s="4">
        <v>17</v>
      </c>
      <c r="B85" s="4" t="s">
        <v>250</v>
      </c>
      <c r="C85" s="4" t="s">
        <v>251</v>
      </c>
      <c r="D85" s="4">
        <v>4</v>
      </c>
      <c r="E85" s="29" t="s">
        <v>340</v>
      </c>
      <c r="F85" s="7" t="s">
        <v>354</v>
      </c>
      <c r="G85" s="30"/>
      <c r="H85" s="4" t="s">
        <v>334</v>
      </c>
      <c r="I85" s="29">
        <v>0</v>
      </c>
      <c r="J85" s="73" t="s">
        <v>354</v>
      </c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</row>
    <row r="86" spans="1:42" x14ac:dyDescent="0.3">
      <c r="A86" s="4">
        <v>17</v>
      </c>
      <c r="B86" s="4" t="s">
        <v>250</v>
      </c>
      <c r="C86" s="4" t="s">
        <v>251</v>
      </c>
      <c r="D86" s="4">
        <v>5</v>
      </c>
      <c r="E86" s="29" t="s">
        <v>343</v>
      </c>
      <c r="F86" s="7" t="s">
        <v>354</v>
      </c>
      <c r="G86" s="30"/>
      <c r="H86" s="4" t="s">
        <v>334</v>
      </c>
      <c r="I86" s="29">
        <v>0</v>
      </c>
      <c r="J86" s="73" t="s">
        <v>354</v>
      </c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</row>
    <row r="87" spans="1:42" x14ac:dyDescent="0.3">
      <c r="A87" s="32">
        <v>18</v>
      </c>
      <c r="B87" s="32" t="s">
        <v>252</v>
      </c>
      <c r="C87" s="32" t="s">
        <v>253</v>
      </c>
      <c r="D87" s="32">
        <v>1</v>
      </c>
      <c r="E87" s="33" t="s">
        <v>333</v>
      </c>
      <c r="F87" s="13" t="s">
        <v>401</v>
      </c>
      <c r="G87" s="34" t="s">
        <v>393</v>
      </c>
      <c r="H87" s="32" t="s">
        <v>350</v>
      </c>
      <c r="I87" s="33">
        <v>0</v>
      </c>
      <c r="J87" s="74">
        <v>1.1000000000000001</v>
      </c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</row>
    <row r="88" spans="1:42" x14ac:dyDescent="0.3">
      <c r="A88" s="32">
        <v>18</v>
      </c>
      <c r="B88" s="32" t="s">
        <v>252</v>
      </c>
      <c r="C88" s="32" t="s">
        <v>253</v>
      </c>
      <c r="D88" s="32">
        <v>2</v>
      </c>
      <c r="E88" s="33" t="s">
        <v>335</v>
      </c>
      <c r="F88" s="13" t="s">
        <v>394</v>
      </c>
      <c r="G88" s="34" t="s">
        <v>394</v>
      </c>
      <c r="H88" s="32" t="s">
        <v>338</v>
      </c>
      <c r="I88" s="33">
        <v>0</v>
      </c>
      <c r="J88" s="74">
        <v>100.77</v>
      </c>
      <c r="K88" s="67">
        <v>100.77</v>
      </c>
      <c r="L88" s="67">
        <v>100.77</v>
      </c>
      <c r="M88" s="67">
        <v>100.77</v>
      </c>
      <c r="N88" s="67">
        <v>100.77</v>
      </c>
      <c r="O88" s="67">
        <v>100.77</v>
      </c>
      <c r="P88" s="67">
        <v>100.77</v>
      </c>
      <c r="Q88" s="67">
        <v>100.77</v>
      </c>
      <c r="R88" s="67">
        <v>100.77</v>
      </c>
      <c r="S88" s="67">
        <v>100.77</v>
      </c>
      <c r="T88" s="67">
        <v>100.77</v>
      </c>
      <c r="U88" s="67">
        <v>100.77</v>
      </c>
      <c r="V88" s="67">
        <v>100.77</v>
      </c>
      <c r="W88" s="67">
        <v>100.77</v>
      </c>
      <c r="X88" s="67">
        <v>100.77</v>
      </c>
      <c r="Y88" s="67">
        <v>100.77</v>
      </c>
      <c r="Z88" s="67">
        <v>100.77</v>
      </c>
      <c r="AA88" s="67">
        <v>100.77</v>
      </c>
      <c r="AB88" s="67">
        <v>100.77</v>
      </c>
      <c r="AC88" s="67">
        <v>100.77</v>
      </c>
      <c r="AD88" s="67">
        <v>100.77</v>
      </c>
      <c r="AE88" s="67">
        <v>100.77</v>
      </c>
      <c r="AF88" s="67">
        <v>100.77</v>
      </c>
      <c r="AG88" s="67">
        <v>100.77</v>
      </c>
      <c r="AH88" s="67">
        <v>100.77</v>
      </c>
      <c r="AI88" s="67">
        <v>100.77</v>
      </c>
      <c r="AJ88" s="67">
        <v>100.77</v>
      </c>
      <c r="AK88" s="67">
        <v>100.77</v>
      </c>
      <c r="AL88" s="67">
        <v>100.77</v>
      </c>
      <c r="AM88" s="67">
        <v>100.77</v>
      </c>
      <c r="AN88" s="67">
        <v>100.77</v>
      </c>
      <c r="AO88" s="67">
        <v>100.77</v>
      </c>
      <c r="AP88" s="67">
        <v>100.77</v>
      </c>
    </row>
    <row r="89" spans="1:42" x14ac:dyDescent="0.3">
      <c r="A89" s="32">
        <v>18</v>
      </c>
      <c r="B89" s="32" t="s">
        <v>252</v>
      </c>
      <c r="C89" s="32" t="s">
        <v>253</v>
      </c>
      <c r="D89" s="32">
        <v>3</v>
      </c>
      <c r="E89" s="33" t="s">
        <v>339</v>
      </c>
      <c r="F89" s="13" t="s">
        <v>395</v>
      </c>
      <c r="G89" s="34" t="s">
        <v>396</v>
      </c>
      <c r="H89" s="32" t="s">
        <v>338</v>
      </c>
      <c r="I89" s="33">
        <v>0</v>
      </c>
      <c r="J89" s="74">
        <v>644.80000000000007</v>
      </c>
      <c r="K89" s="67">
        <v>622.23200000000008</v>
      </c>
      <c r="L89" s="67">
        <v>600.45388000000003</v>
      </c>
      <c r="M89" s="67">
        <v>579.43799420000005</v>
      </c>
      <c r="N89" s="67">
        <v>559.15766440300001</v>
      </c>
      <c r="O89" s="67">
        <v>539.58714614889504</v>
      </c>
      <c r="P89" s="67">
        <v>520.7015960336837</v>
      </c>
      <c r="Q89" s="67">
        <v>502.47704017250476</v>
      </c>
      <c r="R89" s="67">
        <v>484.89034376646708</v>
      </c>
      <c r="S89" s="67">
        <v>465.25228484392517</v>
      </c>
      <c r="T89" s="67">
        <v>443.85067974110467</v>
      </c>
      <c r="U89" s="67">
        <v>420.99236973443783</v>
      </c>
      <c r="V89" s="67">
        <v>396.99580465957496</v>
      </c>
      <c r="W89" s="67">
        <v>372.18356686835159</v>
      </c>
      <c r="X89" s="67">
        <v>348.92209393907967</v>
      </c>
      <c r="Y89" s="67">
        <v>327.11446306788724</v>
      </c>
      <c r="Z89" s="67">
        <v>306.66980912614434</v>
      </c>
      <c r="AA89" s="67">
        <v>287.50294605576039</v>
      </c>
      <c r="AB89" s="67">
        <v>269.5340119272754</v>
      </c>
      <c r="AC89" s="67">
        <v>252.68813618182074</v>
      </c>
      <c r="AD89" s="67">
        <v>231.84136494682059</v>
      </c>
      <c r="AE89" s="67">
        <v>208.07762503977153</v>
      </c>
      <c r="AF89" s="67">
        <v>182.58811597239955</v>
      </c>
      <c r="AG89" s="67">
        <v>160.22107176578064</v>
      </c>
      <c r="AH89" s="67">
        <v>140.59399047447255</v>
      </c>
      <c r="AI89" s="67">
        <v>123.37122664134968</v>
      </c>
      <c r="AJ89" s="67">
        <v>108.25825137778436</v>
      </c>
      <c r="AK89" s="67">
        <v>89.583703015116569</v>
      </c>
      <c r="AL89" s="67">
        <v>69.651329094253143</v>
      </c>
      <c r="AM89" s="67">
        <v>50.671341916069167</v>
      </c>
      <c r="AN89" s="67">
        <v>34.329834148136861</v>
      </c>
      <c r="AO89" s="67">
        <v>21.54197092795588</v>
      </c>
      <c r="AP89" s="67">
        <v>12.440488210894518</v>
      </c>
    </row>
    <row r="90" spans="1:42" x14ac:dyDescent="0.3">
      <c r="A90" s="32">
        <v>18</v>
      </c>
      <c r="B90" s="32" t="s">
        <v>252</v>
      </c>
      <c r="C90" s="32" t="s">
        <v>253</v>
      </c>
      <c r="D90" s="32">
        <v>4</v>
      </c>
      <c r="E90" s="33" t="s">
        <v>340</v>
      </c>
      <c r="F90" s="13" t="s">
        <v>354</v>
      </c>
      <c r="G90" s="34"/>
      <c r="H90" s="32" t="s">
        <v>334</v>
      </c>
      <c r="I90" s="33">
        <v>0</v>
      </c>
      <c r="J90" s="74" t="s">
        <v>354</v>
      </c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</row>
    <row r="91" spans="1:42" x14ac:dyDescent="0.3">
      <c r="A91" s="32">
        <v>18</v>
      </c>
      <c r="B91" s="32" t="s">
        <v>252</v>
      </c>
      <c r="C91" s="32" t="s">
        <v>253</v>
      </c>
      <c r="D91" s="32">
        <v>5</v>
      </c>
      <c r="E91" s="33" t="s">
        <v>343</v>
      </c>
      <c r="F91" s="13" t="s">
        <v>354</v>
      </c>
      <c r="G91" s="34"/>
      <c r="H91" s="32" t="s">
        <v>334</v>
      </c>
      <c r="I91" s="33">
        <v>0</v>
      </c>
      <c r="J91" s="74" t="s">
        <v>354</v>
      </c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</row>
    <row r="92" spans="1:42" x14ac:dyDescent="0.3">
      <c r="A92" s="4">
        <v>19</v>
      </c>
      <c r="B92" s="4" t="s">
        <v>254</v>
      </c>
      <c r="C92" s="4" t="s">
        <v>255</v>
      </c>
      <c r="D92" s="4">
        <v>1</v>
      </c>
      <c r="E92" s="29" t="s">
        <v>333</v>
      </c>
      <c r="F92" s="23" t="s">
        <v>392</v>
      </c>
      <c r="G92" s="30" t="s">
        <v>393</v>
      </c>
      <c r="H92" s="4" t="s">
        <v>398</v>
      </c>
      <c r="I92" s="29">
        <v>0</v>
      </c>
      <c r="J92" s="73">
        <f>360000+400000</f>
        <v>760000</v>
      </c>
      <c r="K92" s="67">
        <v>0.95550099739143779</v>
      </c>
      <c r="L92" s="67">
        <v>0.91084854994629427</v>
      </c>
      <c r="M92" s="67">
        <v>0.86634954733773206</v>
      </c>
      <c r="N92" s="67">
        <v>0.82185054472916985</v>
      </c>
      <c r="O92" s="67">
        <v>0.80696639558078875</v>
      </c>
      <c r="P92" s="67">
        <v>0.79208224643240754</v>
      </c>
      <c r="Q92" s="67">
        <v>0.7722878625134264</v>
      </c>
      <c r="R92" s="67">
        <v>0.75249347859444526</v>
      </c>
      <c r="S92" s="67">
        <v>0.73269909467546412</v>
      </c>
      <c r="T92" s="67">
        <v>0.7129047107564831</v>
      </c>
      <c r="U92" s="67">
        <v>0.70293079637870182</v>
      </c>
      <c r="V92" s="67">
        <v>0.69311032683750196</v>
      </c>
      <c r="W92" s="67">
        <v>0.69142243363510814</v>
      </c>
      <c r="X92" s="67">
        <v>0.68973454043271443</v>
      </c>
      <c r="Y92" s="67">
        <v>0.68804664723032072</v>
      </c>
      <c r="Z92" s="67">
        <v>0.68635875402792701</v>
      </c>
      <c r="AA92" s="67">
        <v>0.6848243056621145</v>
      </c>
      <c r="AB92" s="67">
        <v>0.68313641245972068</v>
      </c>
      <c r="AC92" s="67">
        <v>0.68144851925732697</v>
      </c>
      <c r="AD92" s="67">
        <v>0.67976062605493326</v>
      </c>
      <c r="AE92" s="67">
        <v>0.67807273285253955</v>
      </c>
      <c r="AF92" s="67">
        <v>0.67638483965014573</v>
      </c>
      <c r="AG92" s="67">
        <v>0.67485039128433333</v>
      </c>
      <c r="AH92" s="67">
        <v>0.67316249808193951</v>
      </c>
      <c r="AI92" s="67">
        <v>0.6714746048795458</v>
      </c>
      <c r="AJ92" s="67">
        <v>0.66978671167715209</v>
      </c>
      <c r="AK92" s="67">
        <v>0.66809881847475827</v>
      </c>
      <c r="AL92" s="67">
        <v>0.66641092527236456</v>
      </c>
      <c r="AM92" s="67">
        <v>0.66487647690655205</v>
      </c>
      <c r="AN92" s="67">
        <v>0.66318858370415834</v>
      </c>
      <c r="AO92" s="67">
        <v>0.66150069050176463</v>
      </c>
      <c r="AP92" s="67">
        <v>0.65981279729937092</v>
      </c>
    </row>
    <row r="93" spans="1:42" x14ac:dyDescent="0.3">
      <c r="A93" s="4">
        <v>19</v>
      </c>
      <c r="B93" s="4" t="s">
        <v>254</v>
      </c>
      <c r="C93" s="4" t="s">
        <v>255</v>
      </c>
      <c r="D93" s="4">
        <v>2</v>
      </c>
      <c r="E93" s="29" t="s">
        <v>335</v>
      </c>
      <c r="F93" s="7" t="s">
        <v>394</v>
      </c>
      <c r="G93" s="30" t="s">
        <v>394</v>
      </c>
      <c r="H93" s="4" t="s">
        <v>338</v>
      </c>
      <c r="I93" s="29">
        <v>0</v>
      </c>
      <c r="J93" s="73">
        <f>49.6+4</f>
        <v>53.6</v>
      </c>
      <c r="K93" s="67">
        <v>47.863999999999997</v>
      </c>
      <c r="L93" s="67">
        <v>46.188759999999995</v>
      </c>
      <c r="M93" s="67">
        <v>44.572153399999991</v>
      </c>
      <c r="N93" s="67">
        <v>43.012128030999989</v>
      </c>
      <c r="O93" s="67">
        <v>41.506703549914988</v>
      </c>
      <c r="P93" s="67">
        <v>40.053968925667959</v>
      </c>
      <c r="Q93" s="67">
        <v>38.652080013269583</v>
      </c>
      <c r="R93" s="67">
        <v>37.299257212805145</v>
      </c>
      <c r="S93" s="67">
        <v>35.788637295686534</v>
      </c>
      <c r="T93" s="67">
        <v>34.142359980084954</v>
      </c>
      <c r="U93" s="67">
        <v>32.38402844111058</v>
      </c>
      <c r="V93" s="67">
        <v>30.538138819967283</v>
      </c>
      <c r="W93" s="67">
        <v>28.629505143719335</v>
      </c>
      <c r="X93" s="67">
        <v>26.840161072236882</v>
      </c>
      <c r="Y93" s="67">
        <v>25.162651005222081</v>
      </c>
      <c r="Z93" s="67">
        <v>23.589985317395705</v>
      </c>
      <c r="AA93" s="67">
        <v>22.115611235058477</v>
      </c>
      <c r="AB93" s="67">
        <v>20.733385532867327</v>
      </c>
      <c r="AC93" s="67">
        <v>19.437548937063124</v>
      </c>
      <c r="AD93" s="67">
        <v>17.833951149755421</v>
      </c>
      <c r="AE93" s="67">
        <v>16.005971156905495</v>
      </c>
      <c r="AF93" s="67">
        <v>14.045239690184575</v>
      </c>
      <c r="AG93" s="67">
        <v>12.324697828136967</v>
      </c>
      <c r="AH93" s="67">
        <v>10.81492234419019</v>
      </c>
      <c r="AI93" s="67">
        <v>9.4900943570268943</v>
      </c>
      <c r="AJ93" s="67">
        <v>8.3275577982911013</v>
      </c>
      <c r="AK93" s="67">
        <v>6.8910540780858875</v>
      </c>
      <c r="AL93" s="67">
        <v>5.3577945457117782</v>
      </c>
      <c r="AM93" s="67">
        <v>3.8977955320053188</v>
      </c>
      <c r="AN93" s="67">
        <v>2.6407564729336035</v>
      </c>
      <c r="AO93" s="67">
        <v>1.6570746867658361</v>
      </c>
      <c r="AP93" s="67">
        <v>0.95696063160727018</v>
      </c>
    </row>
    <row r="94" spans="1:42" x14ac:dyDescent="0.3">
      <c r="A94" s="4">
        <v>19</v>
      </c>
      <c r="B94" s="4" t="s">
        <v>254</v>
      </c>
      <c r="C94" s="4" t="s">
        <v>255</v>
      </c>
      <c r="D94" s="4">
        <v>3</v>
      </c>
      <c r="E94" s="29" t="s">
        <v>339</v>
      </c>
      <c r="F94" s="7" t="s">
        <v>395</v>
      </c>
      <c r="G94" s="30" t="s">
        <v>396</v>
      </c>
      <c r="H94" s="4" t="s">
        <v>334</v>
      </c>
      <c r="I94" s="29">
        <v>0</v>
      </c>
      <c r="J94" s="73" t="s">
        <v>354</v>
      </c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</row>
    <row r="95" spans="1:42" x14ac:dyDescent="0.3">
      <c r="A95" s="4">
        <v>19</v>
      </c>
      <c r="B95" s="40" t="s">
        <v>254</v>
      </c>
      <c r="C95" s="40" t="s">
        <v>255</v>
      </c>
      <c r="D95" s="40">
        <v>4</v>
      </c>
      <c r="E95" s="25" t="s">
        <v>340</v>
      </c>
      <c r="F95" s="23" t="s">
        <v>354</v>
      </c>
      <c r="G95" s="30"/>
      <c r="H95" s="4" t="s">
        <v>334</v>
      </c>
      <c r="I95" s="29">
        <v>0</v>
      </c>
      <c r="J95" s="73" t="s">
        <v>354</v>
      </c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</row>
    <row r="96" spans="1:42" x14ac:dyDescent="0.3">
      <c r="A96" s="4">
        <v>19</v>
      </c>
      <c r="B96" s="40" t="s">
        <v>254</v>
      </c>
      <c r="C96" s="40" t="s">
        <v>255</v>
      </c>
      <c r="D96" s="40">
        <v>5</v>
      </c>
      <c r="E96" s="25" t="s">
        <v>343</v>
      </c>
      <c r="F96" s="23" t="s">
        <v>354</v>
      </c>
      <c r="G96" s="30"/>
      <c r="H96" s="4" t="s">
        <v>334</v>
      </c>
      <c r="I96" s="29">
        <v>0</v>
      </c>
      <c r="J96" s="73" t="s">
        <v>354</v>
      </c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</row>
    <row r="97" spans="1:42" x14ac:dyDescent="0.3">
      <c r="A97" s="32">
        <v>20</v>
      </c>
      <c r="B97" s="38" t="s">
        <v>256</v>
      </c>
      <c r="C97" s="38" t="s">
        <v>257</v>
      </c>
      <c r="D97" s="38">
        <v>1</v>
      </c>
      <c r="E97" s="39" t="s">
        <v>333</v>
      </c>
      <c r="F97" s="24" t="s">
        <v>401</v>
      </c>
      <c r="G97" s="34" t="s">
        <v>393</v>
      </c>
      <c r="H97" s="32" t="s">
        <v>398</v>
      </c>
      <c r="I97" s="33">
        <v>0</v>
      </c>
      <c r="J97" s="74">
        <v>3.75</v>
      </c>
      <c r="K97" s="67">
        <v>0.9938024633247039</v>
      </c>
      <c r="L97" s="67">
        <v>0.98752647681807482</v>
      </c>
      <c r="M97" s="67">
        <v>0.98132894014277872</v>
      </c>
      <c r="N97" s="67">
        <v>0.9751314034674825</v>
      </c>
      <c r="O97" s="67">
        <v>0.96885541696085353</v>
      </c>
      <c r="P97" s="67">
        <v>0.96265788028555743</v>
      </c>
      <c r="Q97" s="67">
        <v>0.95638189377892835</v>
      </c>
      <c r="R97" s="67">
        <v>0.95018435710363225</v>
      </c>
      <c r="S97" s="67">
        <v>0.94398682042833604</v>
      </c>
      <c r="T97" s="67">
        <v>0.93771083392170707</v>
      </c>
      <c r="U97" s="67">
        <v>0.93151329724641097</v>
      </c>
      <c r="V97" s="67">
        <v>0.92531576057111475</v>
      </c>
      <c r="W97" s="67">
        <v>0.91903977406448578</v>
      </c>
      <c r="X97" s="67">
        <v>0.91284223738918957</v>
      </c>
      <c r="Y97" s="67">
        <v>0.90664470071389347</v>
      </c>
      <c r="Z97" s="67">
        <v>0.9003687142072645</v>
      </c>
      <c r="AA97" s="67">
        <v>0.89417117753196829</v>
      </c>
      <c r="AB97" s="67">
        <v>0.88797364085667219</v>
      </c>
      <c r="AC97" s="67">
        <v>0.8816976543500431</v>
      </c>
      <c r="AD97" s="67">
        <v>0.875500117674747</v>
      </c>
      <c r="AE97" s="67">
        <v>0.8693025809994509</v>
      </c>
      <c r="AF97" s="67">
        <v>0.86302659449282182</v>
      </c>
      <c r="AG97" s="67">
        <v>0.85682905781752572</v>
      </c>
      <c r="AH97" s="67">
        <v>0.85055307131089664</v>
      </c>
      <c r="AI97" s="67">
        <v>0.84435553463560054</v>
      </c>
      <c r="AJ97" s="67">
        <v>0.83815799796030444</v>
      </c>
      <c r="AK97" s="67">
        <v>0.83188201145367535</v>
      </c>
      <c r="AL97" s="67">
        <v>0.82568447477837925</v>
      </c>
      <c r="AM97" s="67">
        <v>0.81948693810308304</v>
      </c>
      <c r="AN97" s="67">
        <v>0.81321095159645407</v>
      </c>
      <c r="AO97" s="67">
        <v>0.80701341492115797</v>
      </c>
      <c r="AP97" s="67">
        <v>0.80081587824586176</v>
      </c>
    </row>
    <row r="98" spans="1:42" x14ac:dyDescent="0.3">
      <c r="A98" s="32">
        <v>20</v>
      </c>
      <c r="B98" s="38" t="s">
        <v>256</v>
      </c>
      <c r="C98" s="38" t="s">
        <v>257</v>
      </c>
      <c r="D98" s="38">
        <v>2</v>
      </c>
      <c r="E98" s="39" t="s">
        <v>335</v>
      </c>
      <c r="F98" s="18" t="s">
        <v>394</v>
      </c>
      <c r="G98" s="34" t="s">
        <v>394</v>
      </c>
      <c r="H98" s="32" t="s">
        <v>338</v>
      </c>
      <c r="I98" s="33">
        <v>0</v>
      </c>
      <c r="J98" s="74">
        <v>56.687399999999997</v>
      </c>
      <c r="K98" s="67">
        <v>56.687399999999997</v>
      </c>
      <c r="L98" s="67">
        <v>56.687399999999997</v>
      </c>
      <c r="M98" s="67">
        <v>56.687399999999997</v>
      </c>
      <c r="N98" s="67">
        <v>56.687399999999997</v>
      </c>
      <c r="O98" s="67">
        <v>56.687399999999997</v>
      </c>
      <c r="P98" s="67">
        <v>56.687399999999997</v>
      </c>
      <c r="Q98" s="67">
        <v>56.687399999999997</v>
      </c>
      <c r="R98" s="67">
        <v>56.687399999999997</v>
      </c>
      <c r="S98" s="67">
        <v>56.687399999999997</v>
      </c>
      <c r="T98" s="67">
        <v>56.687399999999997</v>
      </c>
      <c r="U98" s="67">
        <v>56.687399999999997</v>
      </c>
      <c r="V98" s="67">
        <v>56.687399999999997</v>
      </c>
      <c r="W98" s="67">
        <v>56.687399999999997</v>
      </c>
      <c r="X98" s="67">
        <v>56.687399999999997</v>
      </c>
      <c r="Y98" s="67">
        <v>56.687399999999997</v>
      </c>
      <c r="Z98" s="67">
        <v>56.687399999999997</v>
      </c>
      <c r="AA98" s="67">
        <v>56.687399999999997</v>
      </c>
      <c r="AB98" s="67">
        <v>56.687399999999997</v>
      </c>
      <c r="AC98" s="67">
        <v>56.687399999999997</v>
      </c>
      <c r="AD98" s="67">
        <v>56.687399999999997</v>
      </c>
      <c r="AE98" s="67">
        <v>56.687399999999997</v>
      </c>
      <c r="AF98" s="67">
        <v>56.687399999999997</v>
      </c>
      <c r="AG98" s="67">
        <v>56.687399999999997</v>
      </c>
      <c r="AH98" s="67">
        <v>56.687399999999997</v>
      </c>
      <c r="AI98" s="67">
        <v>56.687399999999997</v>
      </c>
      <c r="AJ98" s="67">
        <v>56.687399999999997</v>
      </c>
      <c r="AK98" s="67">
        <v>56.687399999999997</v>
      </c>
      <c r="AL98" s="67">
        <v>56.687399999999997</v>
      </c>
      <c r="AM98" s="67">
        <v>56.687399999999997</v>
      </c>
      <c r="AN98" s="67">
        <v>56.687399999999997</v>
      </c>
      <c r="AO98" s="67">
        <v>56.687399999999997</v>
      </c>
      <c r="AP98" s="67">
        <v>56.687399999999997</v>
      </c>
    </row>
    <row r="99" spans="1:42" x14ac:dyDescent="0.3">
      <c r="A99" s="32">
        <v>20</v>
      </c>
      <c r="B99" s="38" t="s">
        <v>256</v>
      </c>
      <c r="C99" s="38" t="s">
        <v>257</v>
      </c>
      <c r="D99" s="38">
        <v>3</v>
      </c>
      <c r="E99" s="39" t="s">
        <v>339</v>
      </c>
      <c r="F99" s="18" t="s">
        <v>395</v>
      </c>
      <c r="G99" s="34" t="s">
        <v>396</v>
      </c>
      <c r="H99" s="32" t="s">
        <v>334</v>
      </c>
      <c r="I99" s="33">
        <v>0</v>
      </c>
      <c r="J99" s="74" t="s">
        <v>354</v>
      </c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</row>
    <row r="100" spans="1:42" x14ac:dyDescent="0.3">
      <c r="A100" s="32">
        <v>20</v>
      </c>
      <c r="B100" s="38" t="s">
        <v>256</v>
      </c>
      <c r="C100" s="38" t="s">
        <v>257</v>
      </c>
      <c r="D100" s="38">
        <v>4</v>
      </c>
      <c r="E100" s="39" t="s">
        <v>340</v>
      </c>
      <c r="F100" s="18" t="s">
        <v>354</v>
      </c>
      <c r="G100" s="34"/>
      <c r="H100" s="32" t="s">
        <v>334</v>
      </c>
      <c r="I100" s="33">
        <v>0</v>
      </c>
      <c r="J100" s="74" t="s">
        <v>354</v>
      </c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</row>
    <row r="101" spans="1:42" x14ac:dyDescent="0.3">
      <c r="A101" s="32">
        <v>20</v>
      </c>
      <c r="B101" s="38" t="s">
        <v>256</v>
      </c>
      <c r="C101" s="38" t="s">
        <v>257</v>
      </c>
      <c r="D101" s="38">
        <v>5</v>
      </c>
      <c r="E101" s="39" t="s">
        <v>343</v>
      </c>
      <c r="F101" s="18" t="s">
        <v>354</v>
      </c>
      <c r="G101" s="34"/>
      <c r="H101" s="32" t="s">
        <v>334</v>
      </c>
      <c r="I101" s="33">
        <v>0</v>
      </c>
      <c r="J101" s="74" t="s">
        <v>354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</row>
    <row r="102" spans="1:42" x14ac:dyDescent="0.3">
      <c r="A102" s="4">
        <v>21</v>
      </c>
      <c r="B102" s="40" t="s">
        <v>258</v>
      </c>
      <c r="C102" s="40" t="s">
        <v>259</v>
      </c>
      <c r="D102" s="40">
        <v>1</v>
      </c>
      <c r="E102" s="25" t="s">
        <v>333</v>
      </c>
      <c r="F102" s="23" t="s">
        <v>392</v>
      </c>
      <c r="G102" s="30" t="s">
        <v>393</v>
      </c>
      <c r="H102" s="4" t="s">
        <v>350</v>
      </c>
      <c r="I102" s="29">
        <v>0</v>
      </c>
      <c r="J102" s="73">
        <v>106586.05740000001</v>
      </c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</row>
    <row r="103" spans="1:42" x14ac:dyDescent="0.3">
      <c r="A103" s="4">
        <v>21</v>
      </c>
      <c r="B103" s="40" t="s">
        <v>258</v>
      </c>
      <c r="C103" s="40" t="s">
        <v>259</v>
      </c>
      <c r="D103" s="40">
        <v>2</v>
      </c>
      <c r="E103" s="25" t="s">
        <v>335</v>
      </c>
      <c r="F103" s="23" t="s">
        <v>394</v>
      </c>
      <c r="G103" s="30" t="s">
        <v>394</v>
      </c>
      <c r="H103" s="4" t="s">
        <v>338</v>
      </c>
      <c r="I103" s="29">
        <v>0</v>
      </c>
      <c r="J103" s="73">
        <v>171.78</v>
      </c>
      <c r="K103" s="67">
        <v>171.78</v>
      </c>
      <c r="L103" s="67">
        <v>171.78</v>
      </c>
      <c r="M103" s="67">
        <v>171.78</v>
      </c>
      <c r="N103" s="67">
        <v>171.78</v>
      </c>
      <c r="O103" s="67">
        <v>171.78</v>
      </c>
      <c r="P103" s="67">
        <v>171.78</v>
      </c>
      <c r="Q103" s="67">
        <v>171.78</v>
      </c>
      <c r="R103" s="67">
        <v>171.78</v>
      </c>
      <c r="S103" s="67">
        <v>171.78</v>
      </c>
      <c r="T103" s="67">
        <v>171.78</v>
      </c>
      <c r="U103" s="67">
        <v>171.78</v>
      </c>
      <c r="V103" s="67">
        <v>171.78</v>
      </c>
      <c r="W103" s="67">
        <v>171.78</v>
      </c>
      <c r="X103" s="67">
        <v>171.78</v>
      </c>
      <c r="Y103" s="67">
        <v>171.78</v>
      </c>
      <c r="Z103" s="67">
        <v>171.78</v>
      </c>
      <c r="AA103" s="67">
        <v>171.78</v>
      </c>
      <c r="AB103" s="67">
        <v>171.78</v>
      </c>
      <c r="AC103" s="67">
        <v>171.78</v>
      </c>
      <c r="AD103" s="67">
        <v>171.78</v>
      </c>
      <c r="AE103" s="67">
        <v>171.78</v>
      </c>
      <c r="AF103" s="67">
        <v>171.78</v>
      </c>
      <c r="AG103" s="67">
        <v>171.78</v>
      </c>
      <c r="AH103" s="67">
        <v>171.78</v>
      </c>
      <c r="AI103" s="67">
        <v>171.78</v>
      </c>
      <c r="AJ103" s="67">
        <v>171.78</v>
      </c>
      <c r="AK103" s="67">
        <v>171.78</v>
      </c>
      <c r="AL103" s="67">
        <v>171.78</v>
      </c>
      <c r="AM103" s="67">
        <v>171.78</v>
      </c>
      <c r="AN103" s="67">
        <v>171.78</v>
      </c>
      <c r="AO103" s="67">
        <v>171.78</v>
      </c>
      <c r="AP103" s="67">
        <v>171.78</v>
      </c>
    </row>
    <row r="104" spans="1:42" x14ac:dyDescent="0.3">
      <c r="A104" s="4">
        <v>21</v>
      </c>
      <c r="B104" s="40" t="s">
        <v>258</v>
      </c>
      <c r="C104" s="40" t="s">
        <v>259</v>
      </c>
      <c r="D104" s="40">
        <v>3</v>
      </c>
      <c r="E104" s="25" t="s">
        <v>339</v>
      </c>
      <c r="F104" s="23" t="s">
        <v>395</v>
      </c>
      <c r="G104" s="30" t="s">
        <v>396</v>
      </c>
      <c r="H104" s="4" t="s">
        <v>338</v>
      </c>
      <c r="I104" s="29">
        <v>0</v>
      </c>
      <c r="J104" s="73">
        <v>463.29999999999995</v>
      </c>
      <c r="K104" s="67">
        <v>447.08449999999993</v>
      </c>
      <c r="L104" s="67">
        <v>431.43654249999992</v>
      </c>
      <c r="M104" s="67">
        <v>416.3362635124999</v>
      </c>
      <c r="N104" s="67">
        <v>401.76449428956238</v>
      </c>
      <c r="O104" s="67">
        <v>387.70273698942771</v>
      </c>
      <c r="P104" s="67">
        <v>374.1331411947977</v>
      </c>
      <c r="Q104" s="67">
        <v>361.03848125297975</v>
      </c>
      <c r="R104" s="67">
        <v>348.40213440912544</v>
      </c>
      <c r="S104" s="67">
        <v>334.29184796555586</v>
      </c>
      <c r="T104" s="67">
        <v>318.91442295914032</v>
      </c>
      <c r="U104" s="67">
        <v>302.49033017674464</v>
      </c>
      <c r="V104" s="67">
        <v>285.24838135667022</v>
      </c>
      <c r="W104" s="67">
        <v>267.42035752187837</v>
      </c>
      <c r="X104" s="67">
        <v>250.70658517676102</v>
      </c>
      <c r="Y104" s="67">
        <v>235.03742360321351</v>
      </c>
      <c r="Z104" s="67">
        <v>220.34758462801273</v>
      </c>
      <c r="AA104" s="67">
        <v>206.57586058876197</v>
      </c>
      <c r="AB104" s="67">
        <v>193.66486930196439</v>
      </c>
      <c r="AC104" s="67">
        <v>181.56081497059165</v>
      </c>
      <c r="AD104" s="67">
        <v>166.58204773551788</v>
      </c>
      <c r="AE104" s="67">
        <v>149.50738784262734</v>
      </c>
      <c r="AF104" s="67">
        <v>131.19273283190552</v>
      </c>
      <c r="AG104" s="67">
        <v>115.12162305999712</v>
      </c>
      <c r="AH104" s="67">
        <v>101.01922423514749</v>
      </c>
      <c r="AI104" s="67">
        <v>88.64436926634194</v>
      </c>
      <c r="AJ104" s="67">
        <v>77.785434031215061</v>
      </c>
      <c r="AK104" s="67">
        <v>64.367446660830467</v>
      </c>
      <c r="AL104" s="67">
        <v>50.04568977879569</v>
      </c>
      <c r="AM104" s="67">
        <v>36.408239314073867</v>
      </c>
      <c r="AN104" s="67">
        <v>24.666582135285044</v>
      </c>
      <c r="AO104" s="67">
        <v>15.478280289891364</v>
      </c>
      <c r="AP104" s="67">
        <v>8.9387068674122609</v>
      </c>
    </row>
    <row r="105" spans="1:42" x14ac:dyDescent="0.3">
      <c r="A105" s="4">
        <v>21</v>
      </c>
      <c r="B105" s="40" t="s">
        <v>258</v>
      </c>
      <c r="C105" s="40" t="s">
        <v>259</v>
      </c>
      <c r="D105" s="40">
        <v>4</v>
      </c>
      <c r="E105" s="25" t="s">
        <v>340</v>
      </c>
      <c r="F105" s="23" t="s">
        <v>354</v>
      </c>
      <c r="G105" s="30"/>
      <c r="H105" s="4" t="s">
        <v>334</v>
      </c>
      <c r="I105" s="29">
        <v>0</v>
      </c>
      <c r="J105" s="73" t="s">
        <v>354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</row>
    <row r="106" spans="1:42" x14ac:dyDescent="0.3">
      <c r="A106" s="4">
        <v>21</v>
      </c>
      <c r="B106" s="4" t="s">
        <v>258</v>
      </c>
      <c r="C106" s="4" t="s">
        <v>259</v>
      </c>
      <c r="D106" s="4">
        <v>5</v>
      </c>
      <c r="E106" s="25" t="s">
        <v>343</v>
      </c>
      <c r="F106" s="23" t="s">
        <v>354</v>
      </c>
      <c r="G106" s="30"/>
      <c r="H106" s="4" t="s">
        <v>334</v>
      </c>
      <c r="I106" s="29">
        <v>0</v>
      </c>
      <c r="J106" s="73" t="s">
        <v>354</v>
      </c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</row>
    <row r="107" spans="1:42" x14ac:dyDescent="0.3">
      <c r="A107" s="32">
        <v>22</v>
      </c>
      <c r="B107" s="32" t="s">
        <v>260</v>
      </c>
      <c r="C107" s="32" t="s">
        <v>261</v>
      </c>
      <c r="D107" s="32">
        <v>1</v>
      </c>
      <c r="E107" s="39" t="s">
        <v>333</v>
      </c>
      <c r="F107" s="24" t="s">
        <v>392</v>
      </c>
      <c r="G107" s="34" t="s">
        <v>393</v>
      </c>
      <c r="H107" s="32" t="s">
        <v>350</v>
      </c>
      <c r="I107" s="33">
        <v>0</v>
      </c>
      <c r="J107" s="74">
        <v>106586.06</v>
      </c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</row>
    <row r="108" spans="1:42" x14ac:dyDescent="0.3">
      <c r="A108" s="32">
        <v>22</v>
      </c>
      <c r="B108" s="32" t="s">
        <v>260</v>
      </c>
      <c r="C108" s="32" t="s">
        <v>261</v>
      </c>
      <c r="D108" s="32">
        <v>2</v>
      </c>
      <c r="E108" s="39" t="s">
        <v>335</v>
      </c>
      <c r="F108" s="18" t="s">
        <v>394</v>
      </c>
      <c r="G108" s="34" t="s">
        <v>394</v>
      </c>
      <c r="H108" s="32" t="s">
        <v>338</v>
      </c>
      <c r="I108" s="33">
        <v>0</v>
      </c>
      <c r="J108" s="74">
        <v>171.78</v>
      </c>
      <c r="K108" s="67">
        <v>171.78</v>
      </c>
      <c r="L108" s="67">
        <v>171.78</v>
      </c>
      <c r="M108" s="67">
        <v>171.78</v>
      </c>
      <c r="N108" s="67">
        <v>171.78</v>
      </c>
      <c r="O108" s="67">
        <v>171.78</v>
      </c>
      <c r="P108" s="67">
        <v>171.78</v>
      </c>
      <c r="Q108" s="67">
        <v>171.78</v>
      </c>
      <c r="R108" s="67">
        <v>171.78</v>
      </c>
      <c r="S108" s="67">
        <v>171.78</v>
      </c>
      <c r="T108" s="67">
        <v>171.78</v>
      </c>
      <c r="U108" s="67">
        <v>171.78</v>
      </c>
      <c r="V108" s="67">
        <v>171.78</v>
      </c>
      <c r="W108" s="67">
        <v>171.78</v>
      </c>
      <c r="X108" s="67">
        <v>171.78</v>
      </c>
      <c r="Y108" s="67">
        <v>171.78</v>
      </c>
      <c r="Z108" s="67">
        <v>171.78</v>
      </c>
      <c r="AA108" s="67">
        <v>171.78</v>
      </c>
      <c r="AB108" s="67">
        <v>171.78</v>
      </c>
      <c r="AC108" s="67">
        <v>171.78</v>
      </c>
      <c r="AD108" s="67">
        <v>171.78</v>
      </c>
      <c r="AE108" s="67">
        <v>171.78</v>
      </c>
      <c r="AF108" s="67">
        <v>171.78</v>
      </c>
      <c r="AG108" s="67">
        <v>171.78</v>
      </c>
      <c r="AH108" s="67">
        <v>171.78</v>
      </c>
      <c r="AI108" s="67">
        <v>171.78</v>
      </c>
      <c r="AJ108" s="67">
        <v>171.78</v>
      </c>
      <c r="AK108" s="67">
        <v>171.78</v>
      </c>
      <c r="AL108" s="67">
        <v>171.78</v>
      </c>
      <c r="AM108" s="67">
        <v>171.78</v>
      </c>
      <c r="AN108" s="67">
        <v>171.78</v>
      </c>
      <c r="AO108" s="67">
        <v>171.78</v>
      </c>
      <c r="AP108" s="67">
        <v>171.78</v>
      </c>
    </row>
    <row r="109" spans="1:42" x14ac:dyDescent="0.3">
      <c r="A109" s="32">
        <v>22</v>
      </c>
      <c r="B109" s="32" t="s">
        <v>260</v>
      </c>
      <c r="C109" s="32" t="s">
        <v>261</v>
      </c>
      <c r="D109" s="32">
        <v>3</v>
      </c>
      <c r="E109" s="39" t="s">
        <v>339</v>
      </c>
      <c r="F109" s="18" t="s">
        <v>395</v>
      </c>
      <c r="G109" s="34" t="s">
        <v>396</v>
      </c>
      <c r="H109" s="32" t="s">
        <v>338</v>
      </c>
      <c r="I109" s="33">
        <v>0</v>
      </c>
      <c r="J109" s="74">
        <v>508.5</v>
      </c>
      <c r="K109" s="67">
        <v>490.70249999999999</v>
      </c>
      <c r="L109" s="67">
        <v>473.52791249999996</v>
      </c>
      <c r="M109" s="67">
        <v>456.95443556249995</v>
      </c>
      <c r="N109" s="67">
        <v>440.96103031781246</v>
      </c>
      <c r="O109" s="67">
        <v>425.52739425668904</v>
      </c>
      <c r="P109" s="67">
        <v>410.63393545770492</v>
      </c>
      <c r="Q109" s="67">
        <v>396.26174771668525</v>
      </c>
      <c r="R109" s="67">
        <v>382.39258654660125</v>
      </c>
      <c r="S109" s="67">
        <v>366.90568679146389</v>
      </c>
      <c r="T109" s="67">
        <v>350.02802519905657</v>
      </c>
      <c r="U109" s="67">
        <v>332.0015819013052</v>
      </c>
      <c r="V109" s="67">
        <v>313.07749173293087</v>
      </c>
      <c r="W109" s="67">
        <v>293.51014849962274</v>
      </c>
      <c r="X109" s="67">
        <v>275.16576421839636</v>
      </c>
      <c r="Y109" s="67">
        <v>257.96790395474665</v>
      </c>
      <c r="Z109" s="67">
        <v>241.84490995757503</v>
      </c>
      <c r="AA109" s="67">
        <v>226.72960308522664</v>
      </c>
      <c r="AB109" s="67">
        <v>212.55900289240003</v>
      </c>
      <c r="AC109" s="67">
        <v>199.27406521162507</v>
      </c>
      <c r="AD109" s="67">
        <v>182.83395483166603</v>
      </c>
      <c r="AE109" s="67">
        <v>164.0934744614203</v>
      </c>
      <c r="AF109" s="67">
        <v>143.99202383989635</v>
      </c>
      <c r="AG109" s="67">
        <v>126.35300091950907</v>
      </c>
      <c r="AH109" s="67">
        <v>110.87475830686923</v>
      </c>
      <c r="AI109" s="67">
        <v>97.292600414277757</v>
      </c>
      <c r="AJ109" s="67">
        <v>85.374256863528743</v>
      </c>
      <c r="AK109" s="67">
        <v>70.647197554570042</v>
      </c>
      <c r="AL109" s="67">
        <v>54.928196098678214</v>
      </c>
      <c r="AM109" s="67">
        <v>39.960262661788406</v>
      </c>
      <c r="AN109" s="67">
        <v>27.073077953361643</v>
      </c>
      <c r="AO109" s="67">
        <v>16.98835641573443</v>
      </c>
      <c r="AP109" s="67">
        <v>9.8107758300866319</v>
      </c>
    </row>
    <row r="110" spans="1:42" x14ac:dyDescent="0.3">
      <c r="A110" s="32">
        <v>22</v>
      </c>
      <c r="B110" s="32" t="s">
        <v>260</v>
      </c>
      <c r="C110" s="32" t="s">
        <v>261</v>
      </c>
      <c r="D110" s="32">
        <v>4</v>
      </c>
      <c r="E110" s="39" t="s">
        <v>340</v>
      </c>
      <c r="F110" s="18" t="s">
        <v>354</v>
      </c>
      <c r="G110" s="34"/>
      <c r="H110" s="32" t="s">
        <v>334</v>
      </c>
      <c r="I110" s="33">
        <v>0</v>
      </c>
      <c r="J110" s="74" t="s">
        <v>354</v>
      </c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</row>
    <row r="111" spans="1:42" x14ac:dyDescent="0.3">
      <c r="A111" s="32">
        <v>22</v>
      </c>
      <c r="B111" s="32" t="s">
        <v>260</v>
      </c>
      <c r="C111" s="32" t="s">
        <v>261</v>
      </c>
      <c r="D111" s="32">
        <v>5</v>
      </c>
      <c r="E111" s="33" t="s">
        <v>343</v>
      </c>
      <c r="F111" s="13" t="s">
        <v>354</v>
      </c>
      <c r="G111" s="34"/>
      <c r="H111" s="32" t="s">
        <v>334</v>
      </c>
      <c r="I111" s="33">
        <v>0</v>
      </c>
      <c r="J111" s="74" t="s">
        <v>354</v>
      </c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</row>
    <row r="112" spans="1:42" x14ac:dyDescent="0.3">
      <c r="A112" s="4">
        <v>23</v>
      </c>
      <c r="B112" s="4" t="s">
        <v>262</v>
      </c>
      <c r="C112" s="4" t="s">
        <v>263</v>
      </c>
      <c r="D112" s="4">
        <v>1</v>
      </c>
      <c r="E112" s="29" t="s">
        <v>333</v>
      </c>
      <c r="F112" s="7" t="s">
        <v>402</v>
      </c>
      <c r="G112" s="30" t="s">
        <v>393</v>
      </c>
      <c r="H112" s="4" t="s">
        <v>350</v>
      </c>
      <c r="I112" s="29">
        <v>0</v>
      </c>
      <c r="J112" s="73">
        <v>1.1047366869999999</v>
      </c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</row>
    <row r="113" spans="1:42" x14ac:dyDescent="0.3">
      <c r="A113" s="4">
        <v>23</v>
      </c>
      <c r="B113" s="4" t="s">
        <v>262</v>
      </c>
      <c r="C113" s="4" t="s">
        <v>263</v>
      </c>
      <c r="D113" s="4">
        <v>2</v>
      </c>
      <c r="E113" s="29" t="s">
        <v>335</v>
      </c>
      <c r="F113" s="7" t="s">
        <v>394</v>
      </c>
      <c r="G113" s="30" t="s">
        <v>394</v>
      </c>
      <c r="H113" s="4" t="s">
        <v>338</v>
      </c>
      <c r="I113" s="29">
        <v>0</v>
      </c>
      <c r="J113" s="73">
        <v>100.77</v>
      </c>
      <c r="K113" s="67">
        <v>100.77</v>
      </c>
      <c r="L113" s="67">
        <v>100.77</v>
      </c>
      <c r="M113" s="67">
        <v>100.77</v>
      </c>
      <c r="N113" s="67">
        <v>100.77</v>
      </c>
      <c r="O113" s="67">
        <v>100.77</v>
      </c>
      <c r="P113" s="67">
        <v>100.77</v>
      </c>
      <c r="Q113" s="67">
        <v>100.77</v>
      </c>
      <c r="R113" s="67">
        <v>100.77</v>
      </c>
      <c r="S113" s="67">
        <v>100.77</v>
      </c>
      <c r="T113" s="67">
        <v>100.77</v>
      </c>
      <c r="U113" s="67">
        <v>100.77</v>
      </c>
      <c r="V113" s="67">
        <v>100.77</v>
      </c>
      <c r="W113" s="67">
        <v>100.77</v>
      </c>
      <c r="X113" s="67">
        <v>100.77</v>
      </c>
      <c r="Y113" s="67">
        <v>100.77</v>
      </c>
      <c r="Z113" s="67">
        <v>100.77</v>
      </c>
      <c r="AA113" s="67">
        <v>100.77</v>
      </c>
      <c r="AB113" s="67">
        <v>100.77</v>
      </c>
      <c r="AC113" s="67">
        <v>100.77</v>
      </c>
      <c r="AD113" s="67">
        <v>100.77</v>
      </c>
      <c r="AE113" s="67">
        <v>100.77</v>
      </c>
      <c r="AF113" s="67">
        <v>100.77</v>
      </c>
      <c r="AG113" s="67">
        <v>100.77</v>
      </c>
      <c r="AH113" s="67">
        <v>100.77</v>
      </c>
      <c r="AI113" s="67">
        <v>100.77</v>
      </c>
      <c r="AJ113" s="67">
        <v>100.77</v>
      </c>
      <c r="AK113" s="67">
        <v>100.77</v>
      </c>
      <c r="AL113" s="67">
        <v>100.77</v>
      </c>
      <c r="AM113" s="67">
        <v>100.77</v>
      </c>
      <c r="AN113" s="67">
        <v>100.77</v>
      </c>
      <c r="AO113" s="67">
        <v>100.77</v>
      </c>
      <c r="AP113" s="67">
        <v>100.77</v>
      </c>
    </row>
    <row r="114" spans="1:42" x14ac:dyDescent="0.3">
      <c r="A114" s="4">
        <v>23</v>
      </c>
      <c r="B114" s="4" t="s">
        <v>262</v>
      </c>
      <c r="C114" s="4" t="s">
        <v>263</v>
      </c>
      <c r="D114" s="4">
        <v>3</v>
      </c>
      <c r="E114" s="29" t="s">
        <v>339</v>
      </c>
      <c r="F114" s="7" t="s">
        <v>395</v>
      </c>
      <c r="G114" s="30" t="s">
        <v>396</v>
      </c>
      <c r="H114" s="4" t="s">
        <v>338</v>
      </c>
      <c r="I114" s="29">
        <v>0</v>
      </c>
      <c r="J114" s="73">
        <v>146.9</v>
      </c>
      <c r="K114" s="67">
        <v>141.7585</v>
      </c>
      <c r="L114" s="67">
        <v>136.7969525</v>
      </c>
      <c r="M114" s="67">
        <v>132.00905916249999</v>
      </c>
      <c r="N114" s="67">
        <v>127.38874209181249</v>
      </c>
      <c r="O114" s="67">
        <v>122.93013611859905</v>
      </c>
      <c r="P114" s="67">
        <v>118.62758135444808</v>
      </c>
      <c r="Q114" s="67">
        <v>114.47561600704239</v>
      </c>
      <c r="R114" s="67">
        <v>110.46896944679591</v>
      </c>
      <c r="S114" s="67">
        <v>105.99497618420068</v>
      </c>
      <c r="T114" s="67">
        <v>101.11920727972746</v>
      </c>
      <c r="U114" s="67">
        <v>95.911568104821512</v>
      </c>
      <c r="V114" s="67">
        <v>90.444608722846709</v>
      </c>
      <c r="W114" s="67">
        <v>84.791820677668809</v>
      </c>
      <c r="X114" s="67">
        <v>79.492331885314528</v>
      </c>
      <c r="Y114" s="67">
        <v>74.524061142482381</v>
      </c>
      <c r="Z114" s="67">
        <v>69.866307321077244</v>
      </c>
      <c r="AA114" s="67">
        <v>65.499663113509925</v>
      </c>
      <c r="AB114" s="67">
        <v>61.405934168915572</v>
      </c>
      <c r="AC114" s="67">
        <v>57.568063283358363</v>
      </c>
      <c r="AD114" s="67">
        <v>52.81869806248131</v>
      </c>
      <c r="AE114" s="67">
        <v>47.404781511076983</v>
      </c>
      <c r="AF114" s="67">
        <v>41.59769577597006</v>
      </c>
      <c r="AG114" s="67">
        <v>36.501978043413736</v>
      </c>
      <c r="AH114" s="67">
        <v>32.03048573309556</v>
      </c>
      <c r="AI114" s="67">
        <v>28.10675123079136</v>
      </c>
      <c r="AJ114" s="67">
        <v>24.663674205019422</v>
      </c>
      <c r="AK114" s="67">
        <v>20.409190404653575</v>
      </c>
      <c r="AL114" s="67">
        <v>15.868145539618157</v>
      </c>
      <c r="AM114" s="67">
        <v>11.54407588007221</v>
      </c>
      <c r="AN114" s="67">
        <v>7.821111408748922</v>
      </c>
      <c r="AO114" s="67">
        <v>4.9077474089899482</v>
      </c>
      <c r="AP114" s="67">
        <v>2.8342241286916945</v>
      </c>
    </row>
    <row r="115" spans="1:42" x14ac:dyDescent="0.3">
      <c r="A115" s="4">
        <v>23</v>
      </c>
      <c r="B115" s="4" t="s">
        <v>262</v>
      </c>
      <c r="C115" s="4" t="s">
        <v>263</v>
      </c>
      <c r="D115" s="4">
        <v>4</v>
      </c>
      <c r="E115" s="29" t="s">
        <v>340</v>
      </c>
      <c r="F115" s="7" t="s">
        <v>354</v>
      </c>
      <c r="G115" s="30"/>
      <c r="H115" s="4" t="s">
        <v>334</v>
      </c>
      <c r="I115" s="29">
        <v>0</v>
      </c>
      <c r="J115" s="73" t="s">
        <v>354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</row>
    <row r="116" spans="1:42" x14ac:dyDescent="0.3">
      <c r="A116" s="4">
        <v>23</v>
      </c>
      <c r="B116" s="4" t="s">
        <v>262</v>
      </c>
      <c r="C116" s="4" t="s">
        <v>263</v>
      </c>
      <c r="D116" s="4">
        <v>5</v>
      </c>
      <c r="E116" s="29" t="s">
        <v>343</v>
      </c>
      <c r="F116" s="7" t="s">
        <v>354</v>
      </c>
      <c r="G116" s="30"/>
      <c r="H116" s="4" t="s">
        <v>334</v>
      </c>
      <c r="I116" s="29">
        <v>0</v>
      </c>
      <c r="J116" s="73" t="s">
        <v>354</v>
      </c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</row>
    <row r="117" spans="1:42" x14ac:dyDescent="0.3">
      <c r="A117" s="32">
        <v>24</v>
      </c>
      <c r="B117" s="32" t="s">
        <v>264</v>
      </c>
      <c r="C117" s="32" t="s">
        <v>265</v>
      </c>
      <c r="D117" s="32">
        <v>1</v>
      </c>
      <c r="E117" s="33" t="s">
        <v>333</v>
      </c>
      <c r="F117" s="24" t="s">
        <v>392</v>
      </c>
      <c r="G117" s="34" t="s">
        <v>393</v>
      </c>
      <c r="H117" s="32" t="s">
        <v>398</v>
      </c>
      <c r="I117" s="33">
        <v>0</v>
      </c>
      <c r="J117" s="74">
        <v>360000</v>
      </c>
      <c r="K117" s="67">
        <v>0.95550099739143779</v>
      </c>
      <c r="L117" s="67">
        <v>0.91084854994629427</v>
      </c>
      <c r="M117" s="67">
        <v>0.86634954733773206</v>
      </c>
      <c r="N117" s="67">
        <v>0.82185054472916985</v>
      </c>
      <c r="O117" s="67">
        <v>0.80696639558078875</v>
      </c>
      <c r="P117" s="67">
        <v>0.79208224643240754</v>
      </c>
      <c r="Q117" s="67">
        <v>0.7722878625134264</v>
      </c>
      <c r="R117" s="67">
        <v>0.75249347859444526</v>
      </c>
      <c r="S117" s="67">
        <v>0.73269909467546412</v>
      </c>
      <c r="T117" s="67">
        <v>0.7129047107564831</v>
      </c>
      <c r="U117" s="67">
        <v>0.70293079637870182</v>
      </c>
      <c r="V117" s="67">
        <v>0.69311032683750196</v>
      </c>
      <c r="W117" s="67">
        <v>0.69142243363510814</v>
      </c>
      <c r="X117" s="67">
        <v>0.68973454043271443</v>
      </c>
      <c r="Y117" s="67">
        <v>0.68804664723032072</v>
      </c>
      <c r="Z117" s="67">
        <v>0.68635875402792701</v>
      </c>
      <c r="AA117" s="67">
        <v>0.6848243056621145</v>
      </c>
      <c r="AB117" s="67">
        <v>0.68313641245972068</v>
      </c>
      <c r="AC117" s="67">
        <v>0.68144851925732697</v>
      </c>
      <c r="AD117" s="67">
        <v>0.67976062605493326</v>
      </c>
      <c r="AE117" s="67">
        <v>0.67807273285253955</v>
      </c>
      <c r="AF117" s="67">
        <v>0.67638483965014573</v>
      </c>
      <c r="AG117" s="67">
        <v>0.67485039128433333</v>
      </c>
      <c r="AH117" s="67">
        <v>0.67316249808193951</v>
      </c>
      <c r="AI117" s="67">
        <v>0.6714746048795458</v>
      </c>
      <c r="AJ117" s="67">
        <v>0.66978671167715209</v>
      </c>
      <c r="AK117" s="67">
        <v>0.66809881847475827</v>
      </c>
      <c r="AL117" s="67">
        <v>0.66641092527236456</v>
      </c>
      <c r="AM117" s="67">
        <v>0.66487647690655205</v>
      </c>
      <c r="AN117" s="67">
        <v>0.66318858370415834</v>
      </c>
      <c r="AO117" s="67">
        <v>0.66150069050176463</v>
      </c>
      <c r="AP117" s="67">
        <v>0.65981279729937092</v>
      </c>
    </row>
    <row r="118" spans="1:42" x14ac:dyDescent="0.3">
      <c r="A118" s="32">
        <v>24</v>
      </c>
      <c r="B118" s="32" t="s">
        <v>264</v>
      </c>
      <c r="C118" s="32" t="s">
        <v>265</v>
      </c>
      <c r="D118" s="32">
        <v>2</v>
      </c>
      <c r="E118" s="33" t="s">
        <v>335</v>
      </c>
      <c r="F118" s="13" t="s">
        <v>394</v>
      </c>
      <c r="G118" s="34" t="s">
        <v>394</v>
      </c>
      <c r="H118" s="32" t="s">
        <v>338</v>
      </c>
      <c r="I118" s="33">
        <v>0</v>
      </c>
      <c r="J118" s="74">
        <v>56.687399999999997</v>
      </c>
      <c r="K118" s="67">
        <v>56.687399999999997</v>
      </c>
      <c r="L118" s="67">
        <v>56.687399999999997</v>
      </c>
      <c r="M118" s="67">
        <v>56.687399999999997</v>
      </c>
      <c r="N118" s="67">
        <v>56.687399999999997</v>
      </c>
      <c r="O118" s="67">
        <v>56.687399999999997</v>
      </c>
      <c r="P118" s="67">
        <v>56.687399999999997</v>
      </c>
      <c r="Q118" s="67">
        <v>56.687399999999997</v>
      </c>
      <c r="R118" s="67">
        <v>56.687399999999997</v>
      </c>
      <c r="S118" s="67">
        <v>56.687399999999997</v>
      </c>
      <c r="T118" s="67">
        <v>56.687399999999997</v>
      </c>
      <c r="U118" s="67">
        <v>56.687399999999997</v>
      </c>
      <c r="V118" s="67">
        <v>56.687399999999997</v>
      </c>
      <c r="W118" s="67">
        <v>56.687399999999997</v>
      </c>
      <c r="X118" s="67">
        <v>56.687399999999997</v>
      </c>
      <c r="Y118" s="67">
        <v>56.687399999999997</v>
      </c>
      <c r="Z118" s="67">
        <v>56.687399999999997</v>
      </c>
      <c r="AA118" s="67">
        <v>56.687399999999997</v>
      </c>
      <c r="AB118" s="67">
        <v>56.687399999999997</v>
      </c>
      <c r="AC118" s="67">
        <v>56.687399999999997</v>
      </c>
      <c r="AD118" s="67">
        <v>56.687399999999997</v>
      </c>
      <c r="AE118" s="67">
        <v>56.687399999999997</v>
      </c>
      <c r="AF118" s="67">
        <v>56.687399999999997</v>
      </c>
      <c r="AG118" s="67">
        <v>56.687399999999997</v>
      </c>
      <c r="AH118" s="67">
        <v>56.687399999999997</v>
      </c>
      <c r="AI118" s="67">
        <v>56.687399999999997</v>
      </c>
      <c r="AJ118" s="67">
        <v>56.687399999999997</v>
      </c>
      <c r="AK118" s="67">
        <v>56.687399999999997</v>
      </c>
      <c r="AL118" s="67">
        <v>56.687399999999997</v>
      </c>
      <c r="AM118" s="67">
        <v>56.687399999999997</v>
      </c>
      <c r="AN118" s="67">
        <v>56.687399999999997</v>
      </c>
      <c r="AO118" s="67">
        <v>56.687399999999997</v>
      </c>
      <c r="AP118" s="67">
        <v>56.687399999999997</v>
      </c>
    </row>
    <row r="119" spans="1:42" x14ac:dyDescent="0.3">
      <c r="A119" s="32">
        <v>24</v>
      </c>
      <c r="B119" s="32" t="s">
        <v>264</v>
      </c>
      <c r="C119" s="32" t="s">
        <v>265</v>
      </c>
      <c r="D119" s="32">
        <v>3</v>
      </c>
      <c r="E119" s="33" t="s">
        <v>339</v>
      </c>
      <c r="F119" s="13" t="s">
        <v>395</v>
      </c>
      <c r="G119" s="34" t="s">
        <v>396</v>
      </c>
      <c r="H119" s="32" t="s">
        <v>334</v>
      </c>
      <c r="I119" s="33">
        <v>0</v>
      </c>
      <c r="J119" s="74" t="s">
        <v>354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</row>
    <row r="120" spans="1:42" x14ac:dyDescent="0.3">
      <c r="A120" s="32">
        <v>24</v>
      </c>
      <c r="B120" s="32" t="s">
        <v>264</v>
      </c>
      <c r="C120" s="32" t="s">
        <v>265</v>
      </c>
      <c r="D120" s="32">
        <v>4</v>
      </c>
      <c r="E120" s="33" t="s">
        <v>340</v>
      </c>
      <c r="F120" s="13" t="s">
        <v>354</v>
      </c>
      <c r="G120" s="34"/>
      <c r="H120" s="32" t="s">
        <v>334</v>
      </c>
      <c r="I120" s="33">
        <v>0</v>
      </c>
      <c r="J120" s="74" t="s">
        <v>354</v>
      </c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</row>
    <row r="121" spans="1:42" x14ac:dyDescent="0.3">
      <c r="A121" s="32">
        <v>24</v>
      </c>
      <c r="B121" s="32" t="s">
        <v>264</v>
      </c>
      <c r="C121" s="32" t="s">
        <v>265</v>
      </c>
      <c r="D121" s="32">
        <v>5</v>
      </c>
      <c r="E121" s="33" t="s">
        <v>343</v>
      </c>
      <c r="F121" s="13" t="s">
        <v>354</v>
      </c>
      <c r="G121" s="34"/>
      <c r="H121" s="32" t="s">
        <v>334</v>
      </c>
      <c r="I121" s="33">
        <v>0</v>
      </c>
      <c r="J121" s="74" t="s">
        <v>354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</row>
    <row r="122" spans="1:42" x14ac:dyDescent="0.3">
      <c r="A122" s="4">
        <v>25</v>
      </c>
      <c r="B122" s="40" t="s">
        <v>266</v>
      </c>
      <c r="C122" s="40" t="s">
        <v>267</v>
      </c>
      <c r="D122" s="40">
        <v>1</v>
      </c>
      <c r="E122" s="25" t="s">
        <v>333</v>
      </c>
      <c r="F122" s="7" t="s">
        <v>402</v>
      </c>
      <c r="G122" s="30" t="s">
        <v>393</v>
      </c>
      <c r="H122" s="4" t="s">
        <v>398</v>
      </c>
      <c r="I122" s="29">
        <v>0</v>
      </c>
      <c r="J122" s="73">
        <v>3.750220653</v>
      </c>
      <c r="K122" s="67">
        <v>0.9938024633247039</v>
      </c>
      <c r="L122" s="67">
        <v>0.98752647681807482</v>
      </c>
      <c r="M122" s="67">
        <v>0.98132894014277872</v>
      </c>
      <c r="N122" s="67">
        <v>0.9751314034674825</v>
      </c>
      <c r="O122" s="67">
        <v>0.96885541696085353</v>
      </c>
      <c r="P122" s="67">
        <v>0.96265788028555743</v>
      </c>
      <c r="Q122" s="67">
        <v>0.95638189377892835</v>
      </c>
      <c r="R122" s="67">
        <v>0.95018435710363225</v>
      </c>
      <c r="S122" s="67">
        <v>0.94398682042833604</v>
      </c>
      <c r="T122" s="67">
        <v>0.93771083392170707</v>
      </c>
      <c r="U122" s="67">
        <v>0.93151329724641097</v>
      </c>
      <c r="V122" s="67">
        <v>0.92531576057111475</v>
      </c>
      <c r="W122" s="67">
        <v>0.91903977406448578</v>
      </c>
      <c r="X122" s="67">
        <v>0.91284223738918957</v>
      </c>
      <c r="Y122" s="67">
        <v>0.90664470071389347</v>
      </c>
      <c r="Z122" s="67">
        <v>0.9003687142072645</v>
      </c>
      <c r="AA122" s="67">
        <v>0.89417117753196829</v>
      </c>
      <c r="AB122" s="67">
        <v>0.88797364085667219</v>
      </c>
      <c r="AC122" s="67">
        <v>0.8816976543500431</v>
      </c>
      <c r="AD122" s="67">
        <v>0.875500117674747</v>
      </c>
      <c r="AE122" s="67">
        <v>0.8693025809994509</v>
      </c>
      <c r="AF122" s="67">
        <v>0.86302659449282182</v>
      </c>
      <c r="AG122" s="67">
        <v>0.85682905781752572</v>
      </c>
      <c r="AH122" s="67">
        <v>0.85055307131089664</v>
      </c>
      <c r="AI122" s="67">
        <v>0.84435553463560054</v>
      </c>
      <c r="AJ122" s="67">
        <v>0.83815799796030444</v>
      </c>
      <c r="AK122" s="67">
        <v>0.83188201145367535</v>
      </c>
      <c r="AL122" s="67">
        <v>0.82568447477837925</v>
      </c>
      <c r="AM122" s="67">
        <v>0.81948693810308304</v>
      </c>
      <c r="AN122" s="67">
        <v>0.81321095159645407</v>
      </c>
      <c r="AO122" s="67">
        <v>0.80701341492115797</v>
      </c>
      <c r="AP122" s="67">
        <v>0.80081587824586176</v>
      </c>
    </row>
    <row r="123" spans="1:42" x14ac:dyDescent="0.3">
      <c r="A123" s="4">
        <v>25</v>
      </c>
      <c r="B123" s="40" t="s">
        <v>266</v>
      </c>
      <c r="C123" s="40" t="s">
        <v>267</v>
      </c>
      <c r="D123" s="40">
        <v>2</v>
      </c>
      <c r="E123" s="25" t="s">
        <v>335</v>
      </c>
      <c r="F123" s="7" t="s">
        <v>394</v>
      </c>
      <c r="G123" s="30" t="s">
        <v>394</v>
      </c>
      <c r="H123" s="4" t="s">
        <v>338</v>
      </c>
      <c r="I123" s="29">
        <v>0</v>
      </c>
      <c r="J123" s="73">
        <v>56.687399999999997</v>
      </c>
      <c r="K123" s="67">
        <v>56.687399999999997</v>
      </c>
      <c r="L123" s="67">
        <v>56.687399999999997</v>
      </c>
      <c r="M123" s="67">
        <v>56.687399999999997</v>
      </c>
      <c r="N123" s="67">
        <v>56.687399999999997</v>
      </c>
      <c r="O123" s="67">
        <v>56.687399999999997</v>
      </c>
      <c r="P123" s="67">
        <v>56.687399999999997</v>
      </c>
      <c r="Q123" s="67">
        <v>56.687399999999997</v>
      </c>
      <c r="R123" s="67">
        <v>56.687399999999997</v>
      </c>
      <c r="S123" s="67">
        <v>56.687399999999997</v>
      </c>
      <c r="T123" s="67">
        <v>56.687399999999997</v>
      </c>
      <c r="U123" s="67">
        <v>56.687399999999997</v>
      </c>
      <c r="V123" s="67">
        <v>56.687399999999997</v>
      </c>
      <c r="W123" s="67">
        <v>56.687399999999997</v>
      </c>
      <c r="X123" s="67">
        <v>56.687399999999997</v>
      </c>
      <c r="Y123" s="67">
        <v>56.687399999999997</v>
      </c>
      <c r="Z123" s="67">
        <v>56.687399999999997</v>
      </c>
      <c r="AA123" s="67">
        <v>56.687399999999997</v>
      </c>
      <c r="AB123" s="67">
        <v>56.687399999999997</v>
      </c>
      <c r="AC123" s="67">
        <v>56.687399999999997</v>
      </c>
      <c r="AD123" s="67">
        <v>56.687399999999997</v>
      </c>
      <c r="AE123" s="67">
        <v>56.687399999999997</v>
      </c>
      <c r="AF123" s="67">
        <v>56.687399999999997</v>
      </c>
      <c r="AG123" s="67">
        <v>56.687399999999997</v>
      </c>
      <c r="AH123" s="67">
        <v>56.687399999999997</v>
      </c>
      <c r="AI123" s="67">
        <v>56.687399999999997</v>
      </c>
      <c r="AJ123" s="67">
        <v>56.687399999999997</v>
      </c>
      <c r="AK123" s="67">
        <v>56.687399999999997</v>
      </c>
      <c r="AL123" s="67">
        <v>56.687399999999997</v>
      </c>
      <c r="AM123" s="67">
        <v>56.687399999999997</v>
      </c>
      <c r="AN123" s="67">
        <v>56.687399999999997</v>
      </c>
      <c r="AO123" s="67">
        <v>56.687399999999997</v>
      </c>
      <c r="AP123" s="67">
        <v>56.687399999999997</v>
      </c>
    </row>
    <row r="124" spans="1:42" x14ac:dyDescent="0.3">
      <c r="A124" s="4">
        <v>25</v>
      </c>
      <c r="B124" s="40" t="s">
        <v>266</v>
      </c>
      <c r="C124" s="40" t="s">
        <v>267</v>
      </c>
      <c r="D124" s="40">
        <v>3</v>
      </c>
      <c r="E124" s="25" t="s">
        <v>339</v>
      </c>
      <c r="F124" s="7" t="s">
        <v>395</v>
      </c>
      <c r="G124" s="30" t="s">
        <v>396</v>
      </c>
      <c r="H124" s="4" t="s">
        <v>334</v>
      </c>
      <c r="I124" s="29">
        <v>0</v>
      </c>
      <c r="J124" s="73" t="s">
        <v>354</v>
      </c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</row>
    <row r="125" spans="1:42" x14ac:dyDescent="0.3">
      <c r="A125" s="4">
        <v>25</v>
      </c>
      <c r="B125" s="40" t="s">
        <v>266</v>
      </c>
      <c r="C125" s="40" t="s">
        <v>267</v>
      </c>
      <c r="D125" s="40">
        <v>4</v>
      </c>
      <c r="E125" s="25" t="s">
        <v>340</v>
      </c>
      <c r="F125" s="7" t="s">
        <v>354</v>
      </c>
      <c r="G125" s="30"/>
      <c r="H125" s="4" t="s">
        <v>334</v>
      </c>
      <c r="I125" s="29">
        <v>0</v>
      </c>
      <c r="J125" s="73" t="s">
        <v>354</v>
      </c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</row>
    <row r="126" spans="1:42" x14ac:dyDescent="0.3">
      <c r="A126" s="4">
        <v>25</v>
      </c>
      <c r="B126" s="4" t="s">
        <v>266</v>
      </c>
      <c r="C126" s="4" t="s">
        <v>267</v>
      </c>
      <c r="D126" s="4">
        <v>5</v>
      </c>
      <c r="E126" s="29" t="s">
        <v>343</v>
      </c>
      <c r="F126" s="7" t="s">
        <v>354</v>
      </c>
      <c r="G126" s="30"/>
      <c r="H126" s="4" t="s">
        <v>334</v>
      </c>
      <c r="I126" s="29">
        <v>0</v>
      </c>
      <c r="J126" s="73" t="s">
        <v>354</v>
      </c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</row>
    <row r="127" spans="1:42" x14ac:dyDescent="0.3">
      <c r="A127" s="32">
        <v>26</v>
      </c>
      <c r="B127" s="32" t="s">
        <v>268</v>
      </c>
      <c r="C127" s="32" t="s">
        <v>269</v>
      </c>
      <c r="D127" s="32">
        <v>1</v>
      </c>
      <c r="E127" s="33" t="s">
        <v>333</v>
      </c>
      <c r="F127" s="10" t="s">
        <v>392</v>
      </c>
      <c r="G127" s="34" t="s">
        <v>393</v>
      </c>
      <c r="H127" s="32" t="s">
        <v>350</v>
      </c>
      <c r="I127" s="33">
        <v>0</v>
      </c>
      <c r="J127" s="74">
        <v>27594.3</v>
      </c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</row>
    <row r="128" spans="1:42" x14ac:dyDescent="0.3">
      <c r="A128" s="32">
        <v>26</v>
      </c>
      <c r="B128" s="32" t="s">
        <v>268</v>
      </c>
      <c r="C128" s="32" t="s">
        <v>269</v>
      </c>
      <c r="D128" s="32">
        <v>2</v>
      </c>
      <c r="E128" s="33" t="s">
        <v>335</v>
      </c>
      <c r="F128" s="13" t="s">
        <v>394</v>
      </c>
      <c r="G128" s="34" t="s">
        <v>394</v>
      </c>
      <c r="H128" s="32" t="s">
        <v>338</v>
      </c>
      <c r="I128" s="33">
        <v>0</v>
      </c>
      <c r="J128" s="74">
        <v>179.16</v>
      </c>
      <c r="K128" s="67">
        <v>179.16</v>
      </c>
      <c r="L128" s="67">
        <v>179.16</v>
      </c>
      <c r="M128" s="67">
        <v>179.16</v>
      </c>
      <c r="N128" s="67">
        <v>179.16</v>
      </c>
      <c r="O128" s="67">
        <v>179.16</v>
      </c>
      <c r="P128" s="67">
        <v>179.16</v>
      </c>
      <c r="Q128" s="67">
        <v>179.16</v>
      </c>
      <c r="R128" s="67">
        <v>179.16</v>
      </c>
      <c r="S128" s="67">
        <v>179.16</v>
      </c>
      <c r="T128" s="67">
        <v>179.16</v>
      </c>
      <c r="U128" s="67">
        <v>179.16</v>
      </c>
      <c r="V128" s="67">
        <v>179.16</v>
      </c>
      <c r="W128" s="67">
        <v>179.16</v>
      </c>
      <c r="X128" s="67">
        <v>179.16</v>
      </c>
      <c r="Y128" s="67">
        <v>179.16</v>
      </c>
      <c r="Z128" s="67">
        <v>179.16</v>
      </c>
      <c r="AA128" s="67">
        <v>179.16</v>
      </c>
      <c r="AB128" s="67">
        <v>179.16</v>
      </c>
      <c r="AC128" s="67">
        <v>179.16</v>
      </c>
      <c r="AD128" s="67">
        <v>179.16</v>
      </c>
      <c r="AE128" s="67">
        <v>179.16</v>
      </c>
      <c r="AF128" s="67">
        <v>179.16</v>
      </c>
      <c r="AG128" s="67">
        <v>179.16</v>
      </c>
      <c r="AH128" s="67">
        <v>179.16</v>
      </c>
      <c r="AI128" s="67">
        <v>179.16</v>
      </c>
      <c r="AJ128" s="67">
        <v>179.16</v>
      </c>
      <c r="AK128" s="67">
        <v>179.16</v>
      </c>
      <c r="AL128" s="67">
        <v>179.16</v>
      </c>
      <c r="AM128" s="67">
        <v>179.16</v>
      </c>
      <c r="AN128" s="67">
        <v>179.16</v>
      </c>
      <c r="AO128" s="67">
        <v>179.16</v>
      </c>
      <c r="AP128" s="67">
        <v>179.16</v>
      </c>
    </row>
    <row r="129" spans="1:42" x14ac:dyDescent="0.3">
      <c r="A129" s="32">
        <v>26</v>
      </c>
      <c r="B129" s="32" t="s">
        <v>268</v>
      </c>
      <c r="C129" s="32" t="s">
        <v>269</v>
      </c>
      <c r="D129" s="32">
        <v>3</v>
      </c>
      <c r="E129" s="33" t="s">
        <v>339</v>
      </c>
      <c r="F129" s="13" t="s">
        <v>395</v>
      </c>
      <c r="G129" s="34" t="s">
        <v>396</v>
      </c>
      <c r="H129" s="32" t="s">
        <v>338</v>
      </c>
      <c r="I129" s="33">
        <v>0</v>
      </c>
      <c r="J129" s="74">
        <v>38974.189999999995</v>
      </c>
      <c r="K129" s="67">
        <v>37610.093349999996</v>
      </c>
      <c r="L129" s="67">
        <v>36293.740082749995</v>
      </c>
      <c r="M129" s="67">
        <v>35023.459179853744</v>
      </c>
      <c r="N129" s="67">
        <v>33797.638108558865</v>
      </c>
      <c r="O129" s="67">
        <v>32614.720774759306</v>
      </c>
      <c r="P129" s="67">
        <v>31473.20554764273</v>
      </c>
      <c r="Q129" s="67">
        <v>30371.643353475232</v>
      </c>
      <c r="R129" s="67">
        <v>29308.6358361036</v>
      </c>
      <c r="S129" s="67">
        <v>28121.636084741403</v>
      </c>
      <c r="T129" s="67">
        <v>26828.040824843301</v>
      </c>
      <c r="U129" s="67">
        <v>25446.396722363876</v>
      </c>
      <c r="V129" s="67">
        <v>23995.95210918914</v>
      </c>
      <c r="W129" s="67">
        <v>22496.205102364824</v>
      </c>
      <c r="X129" s="67">
        <v>21090.192283467026</v>
      </c>
      <c r="Y129" s="67">
        <v>19772.055265750343</v>
      </c>
      <c r="Z129" s="67">
        <v>18536.301811640951</v>
      </c>
      <c r="AA129" s="67">
        <v>17377.782948413394</v>
      </c>
      <c r="AB129" s="67">
        <v>16291.671514137561</v>
      </c>
      <c r="AC129" s="67">
        <v>15273.442044503967</v>
      </c>
      <c r="AD129" s="67">
        <v>14013.383075832393</v>
      </c>
      <c r="AE129" s="67">
        <v>12577.011310559576</v>
      </c>
      <c r="AF129" s="67">
        <v>11036.32742501603</v>
      </c>
      <c r="AG129" s="67">
        <v>9684.3773154515693</v>
      </c>
      <c r="AH129" s="67">
        <v>8498.0410943087536</v>
      </c>
      <c r="AI129" s="67">
        <v>7457.031060255933</v>
      </c>
      <c r="AJ129" s="67">
        <v>6543.5447553745826</v>
      </c>
      <c r="AK129" s="67">
        <v>5414.7832850724681</v>
      </c>
      <c r="AL129" s="67">
        <v>4209.994004143844</v>
      </c>
      <c r="AM129" s="67">
        <v>3062.7706380146465</v>
      </c>
      <c r="AN129" s="67">
        <v>2075.0271072549231</v>
      </c>
      <c r="AO129" s="67">
        <v>1302.0795098024641</v>
      </c>
      <c r="AP129" s="67">
        <v>751.95091691092296</v>
      </c>
    </row>
    <row r="130" spans="1:42" x14ac:dyDescent="0.3">
      <c r="A130" s="32">
        <v>26</v>
      </c>
      <c r="B130" s="32" t="s">
        <v>268</v>
      </c>
      <c r="C130" s="32" t="s">
        <v>269</v>
      </c>
      <c r="D130" s="32">
        <v>4</v>
      </c>
      <c r="E130" s="33" t="s">
        <v>340</v>
      </c>
      <c r="F130" s="13" t="s">
        <v>354</v>
      </c>
      <c r="G130" s="34"/>
      <c r="H130" s="32" t="s">
        <v>334</v>
      </c>
      <c r="I130" s="33">
        <v>0</v>
      </c>
      <c r="J130" s="74" t="s">
        <v>354</v>
      </c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</row>
    <row r="131" spans="1:42" x14ac:dyDescent="0.3">
      <c r="A131" s="32">
        <v>26</v>
      </c>
      <c r="B131" s="32" t="s">
        <v>268</v>
      </c>
      <c r="C131" s="32" t="s">
        <v>269</v>
      </c>
      <c r="D131" s="32">
        <v>5</v>
      </c>
      <c r="E131" s="33" t="s">
        <v>343</v>
      </c>
      <c r="F131" s="13" t="s">
        <v>354</v>
      </c>
      <c r="G131" s="34"/>
      <c r="H131" s="32" t="s">
        <v>334</v>
      </c>
      <c r="I131" s="33">
        <v>0</v>
      </c>
      <c r="J131" s="74" t="s">
        <v>354</v>
      </c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</row>
    <row r="132" spans="1:42" x14ac:dyDescent="0.3">
      <c r="A132" s="4">
        <v>27</v>
      </c>
      <c r="B132" s="4" t="s">
        <v>270</v>
      </c>
      <c r="C132" s="4" t="s">
        <v>271</v>
      </c>
      <c r="D132" s="4">
        <v>1</v>
      </c>
      <c r="E132" s="25" t="s">
        <v>333</v>
      </c>
      <c r="F132" s="23" t="s">
        <v>392</v>
      </c>
      <c r="G132" s="30" t="s">
        <v>393</v>
      </c>
      <c r="H132" s="4" t="s">
        <v>350</v>
      </c>
      <c r="I132" s="29">
        <v>0</v>
      </c>
      <c r="J132" s="73">
        <v>27594.3</v>
      </c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</row>
    <row r="133" spans="1:42" x14ac:dyDescent="0.3">
      <c r="A133" s="4">
        <v>27</v>
      </c>
      <c r="B133" s="4" t="s">
        <v>270</v>
      </c>
      <c r="C133" s="4" t="s">
        <v>271</v>
      </c>
      <c r="D133" s="4">
        <v>2</v>
      </c>
      <c r="E133" s="25" t="s">
        <v>335</v>
      </c>
      <c r="F133" s="23" t="s">
        <v>394</v>
      </c>
      <c r="G133" s="30" t="s">
        <v>394</v>
      </c>
      <c r="H133" s="4" t="s">
        <v>338</v>
      </c>
      <c r="I133" s="29">
        <v>0</v>
      </c>
      <c r="J133" s="73">
        <v>179.16</v>
      </c>
      <c r="K133" s="67">
        <v>179.16</v>
      </c>
      <c r="L133" s="67">
        <v>179.16</v>
      </c>
      <c r="M133" s="67">
        <v>179.16</v>
      </c>
      <c r="N133" s="67">
        <v>179.16</v>
      </c>
      <c r="O133" s="67">
        <v>179.16</v>
      </c>
      <c r="P133" s="67">
        <v>179.16</v>
      </c>
      <c r="Q133" s="67">
        <v>179.16</v>
      </c>
      <c r="R133" s="67">
        <v>179.16</v>
      </c>
      <c r="S133" s="67">
        <v>179.16</v>
      </c>
      <c r="T133" s="67">
        <v>179.16</v>
      </c>
      <c r="U133" s="67">
        <v>179.16</v>
      </c>
      <c r="V133" s="67">
        <v>179.16</v>
      </c>
      <c r="W133" s="67">
        <v>179.16</v>
      </c>
      <c r="X133" s="67">
        <v>179.16</v>
      </c>
      <c r="Y133" s="67">
        <v>179.16</v>
      </c>
      <c r="Z133" s="67">
        <v>179.16</v>
      </c>
      <c r="AA133" s="67">
        <v>179.16</v>
      </c>
      <c r="AB133" s="67">
        <v>179.16</v>
      </c>
      <c r="AC133" s="67">
        <v>179.16</v>
      </c>
      <c r="AD133" s="67">
        <v>179.16</v>
      </c>
      <c r="AE133" s="67">
        <v>179.16</v>
      </c>
      <c r="AF133" s="67">
        <v>179.16</v>
      </c>
      <c r="AG133" s="67">
        <v>179.16</v>
      </c>
      <c r="AH133" s="67">
        <v>179.16</v>
      </c>
      <c r="AI133" s="67">
        <v>179.16</v>
      </c>
      <c r="AJ133" s="67">
        <v>179.16</v>
      </c>
      <c r="AK133" s="67">
        <v>179.16</v>
      </c>
      <c r="AL133" s="67">
        <v>179.16</v>
      </c>
      <c r="AM133" s="67">
        <v>179.16</v>
      </c>
      <c r="AN133" s="67">
        <v>179.16</v>
      </c>
      <c r="AO133" s="67">
        <v>179.16</v>
      </c>
      <c r="AP133" s="67">
        <v>179.16</v>
      </c>
    </row>
    <row r="134" spans="1:42" x14ac:dyDescent="0.3">
      <c r="A134" s="4">
        <v>27</v>
      </c>
      <c r="B134" s="4" t="s">
        <v>270</v>
      </c>
      <c r="C134" s="4" t="s">
        <v>271</v>
      </c>
      <c r="D134" s="4">
        <v>3</v>
      </c>
      <c r="E134" s="25" t="s">
        <v>339</v>
      </c>
      <c r="F134" s="23" t="s">
        <v>395</v>
      </c>
      <c r="G134" s="30" t="s">
        <v>396</v>
      </c>
      <c r="H134" s="4" t="s">
        <v>338</v>
      </c>
      <c r="I134" s="29">
        <v>0</v>
      </c>
      <c r="J134" s="73">
        <v>42776.55</v>
      </c>
      <c r="K134" s="67">
        <v>41279.370750000002</v>
      </c>
      <c r="L134" s="67">
        <v>39834.592773750002</v>
      </c>
      <c r="M134" s="67">
        <v>38440.382026668754</v>
      </c>
      <c r="N134" s="67">
        <v>37094.968655735349</v>
      </c>
      <c r="O134" s="67">
        <v>35796.64475278461</v>
      </c>
      <c r="P134" s="67">
        <v>34543.762186437147</v>
      </c>
      <c r="Q134" s="67">
        <v>33334.730509911846</v>
      </c>
      <c r="R134" s="67">
        <v>32168.014942064929</v>
      </c>
      <c r="S134" s="67">
        <v>30865.210336911299</v>
      </c>
      <c r="T134" s="67">
        <v>29445.410661413382</v>
      </c>
      <c r="U134" s="67">
        <v>27928.972012350598</v>
      </c>
      <c r="V134" s="67">
        <v>26337.02060764662</v>
      </c>
      <c r="W134" s="67">
        <v>24690.956819668711</v>
      </c>
      <c r="X134" s="67">
        <v>23147.77201843942</v>
      </c>
      <c r="Y134" s="67">
        <v>21701.036267286963</v>
      </c>
      <c r="Z134" s="67">
        <v>20344.721500581534</v>
      </c>
      <c r="AA134" s="67">
        <v>19073.176406795192</v>
      </c>
      <c r="AB134" s="67">
        <v>17881.102881370498</v>
      </c>
      <c r="AC134" s="67">
        <v>16763.533951284844</v>
      </c>
      <c r="AD134" s="67">
        <v>15380.542400303848</v>
      </c>
      <c r="AE134" s="67">
        <v>13804.036804272706</v>
      </c>
      <c r="AF134" s="67">
        <v>12113.042295749301</v>
      </c>
      <c r="AG134" s="67">
        <v>10629.194614520015</v>
      </c>
      <c r="AH134" s="67">
        <v>9327.1182742413148</v>
      </c>
      <c r="AI134" s="67">
        <v>8184.5462856467557</v>
      </c>
      <c r="AJ134" s="67">
        <v>7181.9393656550292</v>
      </c>
      <c r="AK134" s="67">
        <v>5943.0548250795373</v>
      </c>
      <c r="AL134" s="67">
        <v>4620.7251264993411</v>
      </c>
      <c r="AM134" s="67">
        <v>3361.5775295282706</v>
      </c>
      <c r="AN134" s="67">
        <v>2277.4687762554031</v>
      </c>
      <c r="AO134" s="67">
        <v>1429.1116571002653</v>
      </c>
      <c r="AP134" s="67">
        <v>825.31198197540311</v>
      </c>
    </row>
    <row r="135" spans="1:42" x14ac:dyDescent="0.3">
      <c r="A135" s="4">
        <v>27</v>
      </c>
      <c r="B135" s="4" t="s">
        <v>270</v>
      </c>
      <c r="C135" s="4" t="s">
        <v>271</v>
      </c>
      <c r="D135" s="4">
        <v>4</v>
      </c>
      <c r="E135" s="29" t="s">
        <v>340</v>
      </c>
      <c r="F135" s="7" t="s">
        <v>354</v>
      </c>
      <c r="G135" s="30"/>
      <c r="H135" s="4" t="s">
        <v>334</v>
      </c>
      <c r="I135" s="29">
        <v>0</v>
      </c>
      <c r="J135" s="73" t="s">
        <v>354</v>
      </c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</row>
    <row r="136" spans="1:42" x14ac:dyDescent="0.3">
      <c r="A136" s="4">
        <v>27</v>
      </c>
      <c r="B136" s="4" t="s">
        <v>270</v>
      </c>
      <c r="C136" s="4" t="s">
        <v>271</v>
      </c>
      <c r="D136" s="4">
        <v>5</v>
      </c>
      <c r="E136" s="29" t="s">
        <v>343</v>
      </c>
      <c r="F136" s="7" t="s">
        <v>354</v>
      </c>
      <c r="G136" s="30"/>
      <c r="H136" s="4" t="s">
        <v>334</v>
      </c>
      <c r="I136" s="29">
        <v>0</v>
      </c>
      <c r="J136" s="73" t="s">
        <v>354</v>
      </c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</row>
    <row r="137" spans="1:42" x14ac:dyDescent="0.3">
      <c r="A137" s="32">
        <v>28</v>
      </c>
      <c r="B137" s="32" t="s">
        <v>272</v>
      </c>
      <c r="C137" s="32" t="s">
        <v>273</v>
      </c>
      <c r="D137" s="32">
        <v>1</v>
      </c>
      <c r="E137" s="39" t="s">
        <v>333</v>
      </c>
      <c r="F137" s="13" t="s">
        <v>403</v>
      </c>
      <c r="G137" s="34" t="s">
        <v>393</v>
      </c>
      <c r="H137" s="32" t="s">
        <v>350</v>
      </c>
      <c r="I137" s="33">
        <v>0</v>
      </c>
      <c r="J137" s="74">
        <v>2.0499999999999998</v>
      </c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</row>
    <row r="138" spans="1:42" x14ac:dyDescent="0.3">
      <c r="A138" s="32">
        <v>28</v>
      </c>
      <c r="B138" s="32" t="s">
        <v>272</v>
      </c>
      <c r="C138" s="32" t="s">
        <v>273</v>
      </c>
      <c r="D138" s="32">
        <v>2</v>
      </c>
      <c r="E138" s="39" t="s">
        <v>335</v>
      </c>
      <c r="F138" s="13" t="s">
        <v>394</v>
      </c>
      <c r="G138" s="34" t="s">
        <v>394</v>
      </c>
      <c r="H138" s="32" t="s">
        <v>338</v>
      </c>
      <c r="I138" s="33">
        <v>0</v>
      </c>
      <c r="J138" s="74">
        <v>105.1</v>
      </c>
      <c r="K138" s="67">
        <v>105.1</v>
      </c>
      <c r="L138" s="67">
        <v>105.1</v>
      </c>
      <c r="M138" s="67">
        <v>105.1</v>
      </c>
      <c r="N138" s="67">
        <v>105.1</v>
      </c>
      <c r="O138" s="67">
        <v>105.1</v>
      </c>
      <c r="P138" s="67">
        <v>105.1</v>
      </c>
      <c r="Q138" s="67">
        <v>105.1</v>
      </c>
      <c r="R138" s="67">
        <v>105.1</v>
      </c>
      <c r="S138" s="67">
        <v>105.1</v>
      </c>
      <c r="T138" s="67">
        <v>105.1</v>
      </c>
      <c r="U138" s="67">
        <v>105.1</v>
      </c>
      <c r="V138" s="67">
        <v>105.1</v>
      </c>
      <c r="W138" s="67">
        <v>105.1</v>
      </c>
      <c r="X138" s="67">
        <v>105.1</v>
      </c>
      <c r="Y138" s="67">
        <v>105.1</v>
      </c>
      <c r="Z138" s="67">
        <v>105.1</v>
      </c>
      <c r="AA138" s="67">
        <v>105.1</v>
      </c>
      <c r="AB138" s="67">
        <v>105.1</v>
      </c>
      <c r="AC138" s="67">
        <v>105.1</v>
      </c>
      <c r="AD138" s="67">
        <v>105.1</v>
      </c>
      <c r="AE138" s="67">
        <v>105.1</v>
      </c>
      <c r="AF138" s="67">
        <v>105.1</v>
      </c>
      <c r="AG138" s="67">
        <v>105.1</v>
      </c>
      <c r="AH138" s="67">
        <v>105.1</v>
      </c>
      <c r="AI138" s="67">
        <v>105.1</v>
      </c>
      <c r="AJ138" s="67">
        <v>105.1</v>
      </c>
      <c r="AK138" s="67">
        <v>105.1</v>
      </c>
      <c r="AL138" s="67">
        <v>105.1</v>
      </c>
      <c r="AM138" s="67">
        <v>105.1</v>
      </c>
      <c r="AN138" s="67">
        <v>105.1</v>
      </c>
      <c r="AO138" s="67">
        <v>105.1</v>
      </c>
      <c r="AP138" s="67">
        <v>105.1</v>
      </c>
    </row>
    <row r="139" spans="1:42" x14ac:dyDescent="0.3">
      <c r="A139" s="32">
        <v>28</v>
      </c>
      <c r="B139" s="32" t="s">
        <v>272</v>
      </c>
      <c r="C139" s="32" t="s">
        <v>273</v>
      </c>
      <c r="D139" s="32">
        <v>3</v>
      </c>
      <c r="E139" s="39" t="s">
        <v>339</v>
      </c>
      <c r="F139" s="13" t="s">
        <v>395</v>
      </c>
      <c r="G139" s="34" t="s">
        <v>396</v>
      </c>
      <c r="H139" s="32" t="s">
        <v>338</v>
      </c>
      <c r="I139" s="33">
        <v>0</v>
      </c>
      <c r="J139" s="74">
        <v>12357.67</v>
      </c>
      <c r="K139" s="67">
        <v>11925.15155</v>
      </c>
      <c r="L139" s="67">
        <v>11507.77124575</v>
      </c>
      <c r="M139" s="67">
        <v>11104.999252148749</v>
      </c>
      <c r="N139" s="67">
        <v>10716.324278323542</v>
      </c>
      <c r="O139" s="67">
        <v>10341.252928582218</v>
      </c>
      <c r="P139" s="67">
        <v>9979.3090760818395</v>
      </c>
      <c r="Q139" s="67">
        <v>9630.0332584189746</v>
      </c>
      <c r="R139" s="67">
        <v>9292.9820943743107</v>
      </c>
      <c r="S139" s="67">
        <v>8916.6163195521513</v>
      </c>
      <c r="T139" s="67">
        <v>8506.4519688527525</v>
      </c>
      <c r="U139" s="67">
        <v>8068.3696924568367</v>
      </c>
      <c r="V139" s="67">
        <v>7608.4726199867982</v>
      </c>
      <c r="W139" s="67">
        <v>7132.9430812376249</v>
      </c>
      <c r="X139" s="67">
        <v>6687.1341386602753</v>
      </c>
      <c r="Y139" s="67">
        <v>6269.1882549940092</v>
      </c>
      <c r="Z139" s="67">
        <v>5877.3639890568847</v>
      </c>
      <c r="AA139" s="67">
        <v>5510.028739740831</v>
      </c>
      <c r="AB139" s="67">
        <v>5165.6519435070304</v>
      </c>
      <c r="AC139" s="67">
        <v>4842.7986970378424</v>
      </c>
      <c r="AD139" s="67">
        <v>4443.2678045322218</v>
      </c>
      <c r="AE139" s="67">
        <v>3987.83285456767</v>
      </c>
      <c r="AF139" s="67">
        <v>3499.323329883131</v>
      </c>
      <c r="AG139" s="67">
        <v>3070.6562219724478</v>
      </c>
      <c r="AH139" s="67">
        <v>2694.5008347808234</v>
      </c>
      <c r="AI139" s="67">
        <v>2364.4244825201731</v>
      </c>
      <c r="AJ139" s="67">
        <v>2074.7824834114522</v>
      </c>
      <c r="AK139" s="67">
        <v>1716.8825050229768</v>
      </c>
      <c r="AL139" s="67">
        <v>1334.8761476553645</v>
      </c>
      <c r="AM139" s="67">
        <v>971.12239741927772</v>
      </c>
      <c r="AN139" s="67">
        <v>657.93542425156068</v>
      </c>
      <c r="AO139" s="67">
        <v>412.85447871785431</v>
      </c>
      <c r="AP139" s="67">
        <v>238.42346145956083</v>
      </c>
    </row>
    <row r="140" spans="1:42" x14ac:dyDescent="0.3">
      <c r="A140" s="32">
        <v>28</v>
      </c>
      <c r="B140" s="32" t="s">
        <v>272</v>
      </c>
      <c r="C140" s="32" t="s">
        <v>273</v>
      </c>
      <c r="D140" s="32">
        <v>4</v>
      </c>
      <c r="E140" s="33" t="s">
        <v>340</v>
      </c>
      <c r="F140" s="13" t="s">
        <v>354</v>
      </c>
      <c r="G140" s="34"/>
      <c r="H140" s="32" t="s">
        <v>334</v>
      </c>
      <c r="I140" s="33">
        <v>0</v>
      </c>
      <c r="J140" s="74" t="s">
        <v>354</v>
      </c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</row>
    <row r="141" spans="1:42" x14ac:dyDescent="0.3">
      <c r="A141" s="32">
        <v>28</v>
      </c>
      <c r="B141" s="32" t="s">
        <v>272</v>
      </c>
      <c r="C141" s="32" t="s">
        <v>273</v>
      </c>
      <c r="D141" s="32">
        <v>5</v>
      </c>
      <c r="E141" s="33" t="s">
        <v>343</v>
      </c>
      <c r="F141" s="13" t="s">
        <v>354</v>
      </c>
      <c r="G141" s="34"/>
      <c r="H141" s="32" t="s">
        <v>334</v>
      </c>
      <c r="I141" s="33">
        <v>0</v>
      </c>
      <c r="J141" s="74" t="s">
        <v>354</v>
      </c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</row>
    <row r="142" spans="1:42" x14ac:dyDescent="0.3">
      <c r="A142" s="4">
        <v>29</v>
      </c>
      <c r="B142" s="4" t="s">
        <v>274</v>
      </c>
      <c r="C142" s="4" t="s">
        <v>275</v>
      </c>
      <c r="D142" s="4">
        <v>1</v>
      </c>
      <c r="E142" s="29" t="s">
        <v>333</v>
      </c>
      <c r="F142" s="7" t="s">
        <v>403</v>
      </c>
      <c r="G142" s="30" t="s">
        <v>393</v>
      </c>
      <c r="H142" s="4" t="s">
        <v>398</v>
      </c>
      <c r="I142" s="29">
        <v>0</v>
      </c>
      <c r="J142" s="73">
        <v>1.4</v>
      </c>
      <c r="K142" s="67">
        <v>0.9555012447077208</v>
      </c>
      <c r="L142" s="67">
        <v>0.91084803663256586</v>
      </c>
      <c r="M142" s="67">
        <v>0.86634928134028666</v>
      </c>
      <c r="N142" s="67">
        <v>0.82185052604800757</v>
      </c>
      <c r="O142" s="67">
        <v>0.80696672905347688</v>
      </c>
      <c r="P142" s="67">
        <v>0.79208293205894642</v>
      </c>
      <c r="Q142" s="67">
        <v>0.77228753656896776</v>
      </c>
      <c r="R142" s="67">
        <v>0.7524939581705522</v>
      </c>
      <c r="S142" s="67">
        <v>0.73269856268057354</v>
      </c>
      <c r="T142" s="67">
        <v>0.71290498428215798</v>
      </c>
      <c r="U142" s="67">
        <v>0.70293096869151239</v>
      </c>
      <c r="V142" s="67">
        <v>0.69310958879217921</v>
      </c>
      <c r="W142" s="67">
        <v>0.69142151072992564</v>
      </c>
      <c r="X142" s="67">
        <v>0.68973524975923539</v>
      </c>
      <c r="Y142" s="67">
        <v>0.68804717169698182</v>
      </c>
      <c r="Z142" s="67">
        <v>0.68635909363472825</v>
      </c>
      <c r="AA142" s="67">
        <v>0.68482365126378719</v>
      </c>
      <c r="AB142" s="67">
        <v>0.68313557320153362</v>
      </c>
      <c r="AC142" s="67">
        <v>0.68144931223084326</v>
      </c>
      <c r="AD142" s="67">
        <v>0.67976123416858969</v>
      </c>
      <c r="AE142" s="67">
        <v>0.67807315610633612</v>
      </c>
      <c r="AF142" s="67">
        <v>0.67638507804408265</v>
      </c>
      <c r="AG142" s="67">
        <v>0.6748496356731416</v>
      </c>
      <c r="AH142" s="67">
        <v>0.67316155761088803</v>
      </c>
      <c r="AI142" s="67">
        <v>0.67147529664019767</v>
      </c>
      <c r="AJ142" s="67">
        <v>0.6697872185779441</v>
      </c>
      <c r="AK142" s="67">
        <v>0.66809914051569053</v>
      </c>
      <c r="AL142" s="67">
        <v>0.66641106245343706</v>
      </c>
      <c r="AM142" s="67">
        <v>0.66487562008249601</v>
      </c>
      <c r="AN142" s="67">
        <v>0.66318935911180565</v>
      </c>
      <c r="AO142" s="67">
        <v>0.66150128104955208</v>
      </c>
      <c r="AP142" s="67">
        <v>0.65981320298729851</v>
      </c>
    </row>
    <row r="143" spans="1:42" x14ac:dyDescent="0.3">
      <c r="A143" s="4">
        <v>29</v>
      </c>
      <c r="B143" s="4" t="s">
        <v>274</v>
      </c>
      <c r="C143" s="4" t="s">
        <v>275</v>
      </c>
      <c r="D143" s="4">
        <v>2</v>
      </c>
      <c r="E143" s="29" t="s">
        <v>335</v>
      </c>
      <c r="F143" s="7" t="s">
        <v>394</v>
      </c>
      <c r="G143" s="30" t="s">
        <v>394</v>
      </c>
      <c r="H143" s="4" t="s">
        <v>338</v>
      </c>
      <c r="I143" s="29">
        <v>0</v>
      </c>
      <c r="J143" s="73">
        <v>59.122799999999998</v>
      </c>
      <c r="K143" s="67">
        <v>59.122799999999998</v>
      </c>
      <c r="L143" s="67">
        <v>59.122799999999998</v>
      </c>
      <c r="M143" s="67">
        <v>59.122799999999998</v>
      </c>
      <c r="N143" s="67">
        <v>59.122799999999998</v>
      </c>
      <c r="O143" s="67">
        <v>59.122799999999998</v>
      </c>
      <c r="P143" s="67">
        <v>59.122799999999998</v>
      </c>
      <c r="Q143" s="67">
        <v>59.122799999999998</v>
      </c>
      <c r="R143" s="67">
        <v>59.122799999999998</v>
      </c>
      <c r="S143" s="67">
        <v>59.122799999999998</v>
      </c>
      <c r="T143" s="67">
        <v>59.122799999999998</v>
      </c>
      <c r="U143" s="67">
        <v>59.122799999999998</v>
      </c>
      <c r="V143" s="67">
        <v>59.122799999999998</v>
      </c>
      <c r="W143" s="67">
        <v>59.122799999999998</v>
      </c>
      <c r="X143" s="67">
        <v>59.122799999999998</v>
      </c>
      <c r="Y143" s="67">
        <v>59.122799999999998</v>
      </c>
      <c r="Z143" s="67">
        <v>59.122799999999998</v>
      </c>
      <c r="AA143" s="67">
        <v>59.122799999999998</v>
      </c>
      <c r="AB143" s="67">
        <v>59.122799999999998</v>
      </c>
      <c r="AC143" s="67">
        <v>59.122799999999998</v>
      </c>
      <c r="AD143" s="67">
        <v>59.122799999999998</v>
      </c>
      <c r="AE143" s="67">
        <v>59.122799999999998</v>
      </c>
      <c r="AF143" s="67">
        <v>59.122799999999998</v>
      </c>
      <c r="AG143" s="67">
        <v>59.122799999999998</v>
      </c>
      <c r="AH143" s="67">
        <v>59.122799999999998</v>
      </c>
      <c r="AI143" s="67">
        <v>59.122799999999998</v>
      </c>
      <c r="AJ143" s="67">
        <v>59.122799999999998</v>
      </c>
      <c r="AK143" s="67">
        <v>59.122799999999998</v>
      </c>
      <c r="AL143" s="67">
        <v>59.122799999999998</v>
      </c>
      <c r="AM143" s="67">
        <v>59.122799999999998</v>
      </c>
      <c r="AN143" s="67">
        <v>59.122799999999998</v>
      </c>
      <c r="AO143" s="67">
        <v>59.122799999999998</v>
      </c>
      <c r="AP143" s="67">
        <v>59.122799999999998</v>
      </c>
    </row>
    <row r="144" spans="1:42" x14ac:dyDescent="0.3">
      <c r="A144" s="4">
        <v>29</v>
      </c>
      <c r="B144" s="4" t="s">
        <v>274</v>
      </c>
      <c r="C144" s="4" t="s">
        <v>275</v>
      </c>
      <c r="D144" s="4">
        <v>3</v>
      </c>
      <c r="E144" s="29" t="s">
        <v>339</v>
      </c>
      <c r="F144" s="7" t="s">
        <v>395</v>
      </c>
      <c r="G144" s="30" t="s">
        <v>396</v>
      </c>
      <c r="H144" s="4" t="s">
        <v>334</v>
      </c>
      <c r="I144" s="29">
        <v>0</v>
      </c>
      <c r="J144" s="73" t="s">
        <v>354</v>
      </c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</row>
    <row r="145" spans="1:42" x14ac:dyDescent="0.3">
      <c r="A145" s="4">
        <v>29</v>
      </c>
      <c r="B145" s="4" t="s">
        <v>274</v>
      </c>
      <c r="C145" s="4" t="s">
        <v>275</v>
      </c>
      <c r="D145" s="4">
        <v>4</v>
      </c>
      <c r="E145" s="29" t="s">
        <v>340</v>
      </c>
      <c r="F145" s="7" t="s">
        <v>354</v>
      </c>
      <c r="G145" s="30"/>
      <c r="H145" s="4" t="s">
        <v>334</v>
      </c>
      <c r="I145" s="29">
        <v>0</v>
      </c>
      <c r="J145" s="73" t="s">
        <v>354</v>
      </c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</row>
    <row r="146" spans="1:42" x14ac:dyDescent="0.3">
      <c r="A146" s="4">
        <v>29</v>
      </c>
      <c r="B146" s="4" t="s">
        <v>274</v>
      </c>
      <c r="C146" s="4" t="s">
        <v>275</v>
      </c>
      <c r="D146" s="4">
        <v>5</v>
      </c>
      <c r="E146" s="29" t="s">
        <v>343</v>
      </c>
      <c r="F146" s="7" t="s">
        <v>354</v>
      </c>
      <c r="G146" s="30"/>
      <c r="H146" s="4" t="s">
        <v>334</v>
      </c>
      <c r="I146" s="29">
        <v>0</v>
      </c>
      <c r="J146" s="73" t="s">
        <v>354</v>
      </c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</row>
    <row r="147" spans="1:42" x14ac:dyDescent="0.3">
      <c r="A147" s="32">
        <v>30</v>
      </c>
      <c r="B147" s="32" t="s">
        <v>276</v>
      </c>
      <c r="C147" s="32" t="s">
        <v>277</v>
      </c>
      <c r="D147" s="32">
        <v>1</v>
      </c>
      <c r="E147" s="33" t="s">
        <v>333</v>
      </c>
      <c r="F147" s="18" t="s">
        <v>392</v>
      </c>
      <c r="G147" s="34" t="s">
        <v>393</v>
      </c>
      <c r="H147" s="45" t="s">
        <v>350</v>
      </c>
      <c r="I147" s="70">
        <v>0</v>
      </c>
      <c r="J147" s="75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</row>
    <row r="148" spans="1:42" x14ac:dyDescent="0.3">
      <c r="A148" s="32">
        <v>30</v>
      </c>
      <c r="B148" s="32" t="s">
        <v>276</v>
      </c>
      <c r="C148" s="32" t="s">
        <v>277</v>
      </c>
      <c r="D148" s="32">
        <v>2</v>
      </c>
      <c r="E148" s="33" t="s">
        <v>335</v>
      </c>
      <c r="F148" s="18" t="s">
        <v>394</v>
      </c>
      <c r="G148" s="34" t="s">
        <v>394</v>
      </c>
      <c r="H148" s="46" t="s">
        <v>350</v>
      </c>
      <c r="I148" s="71">
        <v>0</v>
      </c>
      <c r="J148" s="75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</row>
    <row r="149" spans="1:42" x14ac:dyDescent="0.3">
      <c r="A149" s="32">
        <v>30</v>
      </c>
      <c r="B149" s="32" t="s">
        <v>276</v>
      </c>
      <c r="C149" s="32" t="s">
        <v>277</v>
      </c>
      <c r="D149" s="32">
        <v>3</v>
      </c>
      <c r="E149" s="33" t="s">
        <v>339</v>
      </c>
      <c r="F149" s="18" t="s">
        <v>395</v>
      </c>
      <c r="G149" s="34" t="s">
        <v>396</v>
      </c>
      <c r="H149" s="46" t="s">
        <v>350</v>
      </c>
      <c r="I149" s="71">
        <v>0</v>
      </c>
      <c r="J149" s="75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</row>
    <row r="150" spans="1:42" x14ac:dyDescent="0.3">
      <c r="A150" s="32">
        <v>30</v>
      </c>
      <c r="B150" s="32" t="s">
        <v>276</v>
      </c>
      <c r="C150" s="32" t="s">
        <v>277</v>
      </c>
      <c r="D150" s="32">
        <v>4</v>
      </c>
      <c r="E150" s="33" t="s">
        <v>340</v>
      </c>
      <c r="F150" s="13" t="s">
        <v>354</v>
      </c>
      <c r="G150" s="34"/>
      <c r="H150" s="32" t="s">
        <v>334</v>
      </c>
      <c r="I150" s="33">
        <v>0</v>
      </c>
      <c r="J150" s="74" t="s">
        <v>354</v>
      </c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</row>
    <row r="151" spans="1:42" x14ac:dyDescent="0.3">
      <c r="A151" s="32">
        <v>30</v>
      </c>
      <c r="B151" s="32" t="s">
        <v>276</v>
      </c>
      <c r="C151" s="32" t="s">
        <v>277</v>
      </c>
      <c r="D151" s="32">
        <v>5</v>
      </c>
      <c r="E151" s="33" t="s">
        <v>343</v>
      </c>
      <c r="F151" s="13" t="s">
        <v>354</v>
      </c>
      <c r="G151" s="34"/>
      <c r="H151" s="32" t="s">
        <v>334</v>
      </c>
      <c r="I151" s="33">
        <v>0</v>
      </c>
      <c r="J151" s="74" t="s">
        <v>354</v>
      </c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</row>
    <row r="152" spans="1:42" x14ac:dyDescent="0.3">
      <c r="A152" s="40">
        <v>31</v>
      </c>
      <c r="B152" s="40" t="s">
        <v>278</v>
      </c>
      <c r="C152" s="40" t="s">
        <v>279</v>
      </c>
      <c r="D152" s="40">
        <v>1</v>
      </c>
      <c r="E152" s="25" t="s">
        <v>333</v>
      </c>
      <c r="F152" s="7" t="s">
        <v>392</v>
      </c>
      <c r="G152" s="30" t="s">
        <v>393</v>
      </c>
      <c r="H152" s="4" t="s">
        <v>350</v>
      </c>
      <c r="I152" s="29">
        <v>0</v>
      </c>
      <c r="J152" s="73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</row>
    <row r="153" spans="1:42" x14ac:dyDescent="0.3">
      <c r="A153" s="40">
        <v>31</v>
      </c>
      <c r="B153" s="40" t="s">
        <v>278</v>
      </c>
      <c r="C153" s="40" t="s">
        <v>279</v>
      </c>
      <c r="D153" s="40">
        <v>2</v>
      </c>
      <c r="E153" s="25" t="s">
        <v>335</v>
      </c>
      <c r="F153" s="7" t="s">
        <v>394</v>
      </c>
      <c r="G153" s="30" t="s">
        <v>394</v>
      </c>
      <c r="H153" s="4" t="s">
        <v>350</v>
      </c>
      <c r="I153" s="29">
        <v>0</v>
      </c>
      <c r="J153" s="73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</row>
    <row r="154" spans="1:42" x14ac:dyDescent="0.3">
      <c r="A154" s="40">
        <v>31</v>
      </c>
      <c r="B154" s="40" t="s">
        <v>278</v>
      </c>
      <c r="C154" s="40" t="s">
        <v>279</v>
      </c>
      <c r="D154" s="40">
        <v>3</v>
      </c>
      <c r="E154" s="25" t="s">
        <v>339</v>
      </c>
      <c r="F154" s="7" t="s">
        <v>395</v>
      </c>
      <c r="G154" s="30" t="s">
        <v>396</v>
      </c>
      <c r="H154" s="4" t="s">
        <v>350</v>
      </c>
      <c r="I154" s="29">
        <v>0</v>
      </c>
      <c r="J154" s="73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</row>
    <row r="155" spans="1:42" x14ac:dyDescent="0.3">
      <c r="A155" s="40">
        <v>31</v>
      </c>
      <c r="B155" s="40" t="s">
        <v>278</v>
      </c>
      <c r="C155" s="40" t="s">
        <v>279</v>
      </c>
      <c r="D155" s="40">
        <v>4</v>
      </c>
      <c r="E155" s="25" t="s">
        <v>340</v>
      </c>
      <c r="F155" s="7" t="s">
        <v>354</v>
      </c>
      <c r="G155" s="30"/>
      <c r="H155" s="4" t="s">
        <v>334</v>
      </c>
      <c r="I155" s="29">
        <v>0</v>
      </c>
      <c r="J155" s="73" t="s">
        <v>354</v>
      </c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</row>
    <row r="156" spans="1:42" x14ac:dyDescent="0.3">
      <c r="A156" s="40">
        <v>31</v>
      </c>
      <c r="B156" s="40" t="s">
        <v>278</v>
      </c>
      <c r="C156" s="40" t="s">
        <v>279</v>
      </c>
      <c r="D156" s="40">
        <v>5</v>
      </c>
      <c r="E156" s="25" t="s">
        <v>343</v>
      </c>
      <c r="F156" s="7" t="s">
        <v>354</v>
      </c>
      <c r="G156" s="30"/>
      <c r="H156" s="4" t="s">
        <v>334</v>
      </c>
      <c r="I156" s="29">
        <v>0</v>
      </c>
      <c r="J156" s="73" t="s">
        <v>354</v>
      </c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</row>
    <row r="157" spans="1:42" x14ac:dyDescent="0.3">
      <c r="A157" s="38">
        <v>32</v>
      </c>
      <c r="B157" s="38" t="s">
        <v>280</v>
      </c>
      <c r="C157" s="38" t="s">
        <v>281</v>
      </c>
      <c r="D157" s="38">
        <v>1</v>
      </c>
      <c r="E157" s="39" t="s">
        <v>333</v>
      </c>
      <c r="F157" s="10" t="s">
        <v>392</v>
      </c>
      <c r="G157" s="34" t="s">
        <v>393</v>
      </c>
      <c r="H157" s="32" t="s">
        <v>350</v>
      </c>
      <c r="I157" s="33">
        <v>0</v>
      </c>
      <c r="J157" s="74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</row>
    <row r="158" spans="1:42" x14ac:dyDescent="0.3">
      <c r="A158" s="38">
        <v>32</v>
      </c>
      <c r="B158" s="38" t="s">
        <v>280</v>
      </c>
      <c r="C158" s="38" t="s">
        <v>281</v>
      </c>
      <c r="D158" s="38">
        <v>2</v>
      </c>
      <c r="E158" s="39" t="s">
        <v>335</v>
      </c>
      <c r="F158" s="13" t="s">
        <v>394</v>
      </c>
      <c r="G158" s="34" t="s">
        <v>394</v>
      </c>
      <c r="H158" s="32" t="s">
        <v>350</v>
      </c>
      <c r="I158" s="33">
        <v>0</v>
      </c>
      <c r="J158" s="74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</row>
    <row r="159" spans="1:42" x14ac:dyDescent="0.3">
      <c r="A159" s="38">
        <v>32</v>
      </c>
      <c r="B159" s="38" t="s">
        <v>280</v>
      </c>
      <c r="C159" s="38" t="s">
        <v>281</v>
      </c>
      <c r="D159" s="38">
        <v>3</v>
      </c>
      <c r="E159" s="39" t="s">
        <v>339</v>
      </c>
      <c r="F159" s="13" t="s">
        <v>395</v>
      </c>
      <c r="G159" s="34" t="s">
        <v>396</v>
      </c>
      <c r="H159" s="32" t="s">
        <v>334</v>
      </c>
      <c r="I159" s="33">
        <v>0</v>
      </c>
      <c r="J159" s="74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</row>
    <row r="160" spans="1:42" x14ac:dyDescent="0.3">
      <c r="A160" s="38">
        <v>32</v>
      </c>
      <c r="B160" s="38" t="s">
        <v>280</v>
      </c>
      <c r="C160" s="38" t="s">
        <v>281</v>
      </c>
      <c r="D160" s="38">
        <v>4</v>
      </c>
      <c r="E160" s="39" t="s">
        <v>340</v>
      </c>
      <c r="F160" s="13" t="s">
        <v>354</v>
      </c>
      <c r="G160" s="34"/>
      <c r="H160" s="32" t="s">
        <v>334</v>
      </c>
      <c r="I160" s="33">
        <v>0</v>
      </c>
      <c r="J160" s="74" t="s">
        <v>354</v>
      </c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</row>
    <row r="161" spans="1:42" x14ac:dyDescent="0.3">
      <c r="A161" s="38">
        <v>32</v>
      </c>
      <c r="B161" s="38" t="s">
        <v>280</v>
      </c>
      <c r="C161" s="38" t="s">
        <v>281</v>
      </c>
      <c r="D161" s="38">
        <v>5</v>
      </c>
      <c r="E161" s="39" t="s">
        <v>343</v>
      </c>
      <c r="F161" s="13" t="s">
        <v>354</v>
      </c>
      <c r="G161" s="34"/>
      <c r="H161" s="32" t="s">
        <v>334</v>
      </c>
      <c r="I161" s="33">
        <v>0</v>
      </c>
      <c r="J161" s="74" t="s">
        <v>354</v>
      </c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</row>
    <row r="162" spans="1:42" x14ac:dyDescent="0.3">
      <c r="A162" s="40">
        <v>33</v>
      </c>
      <c r="B162" s="40" t="s">
        <v>282</v>
      </c>
      <c r="C162" s="40" t="s">
        <v>283</v>
      </c>
      <c r="D162" s="40">
        <v>1</v>
      </c>
      <c r="E162" s="25" t="s">
        <v>333</v>
      </c>
      <c r="F162" s="7" t="s">
        <v>392</v>
      </c>
      <c r="G162" s="30" t="s">
        <v>393</v>
      </c>
      <c r="H162" s="4" t="s">
        <v>350</v>
      </c>
      <c r="I162" s="29">
        <v>0</v>
      </c>
      <c r="J162" s="73">
        <v>98642.15</v>
      </c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</row>
    <row r="163" spans="1:42" x14ac:dyDescent="0.3">
      <c r="A163" s="40">
        <v>33</v>
      </c>
      <c r="B163" s="40" t="s">
        <v>282</v>
      </c>
      <c r="C163" s="40" t="s">
        <v>283</v>
      </c>
      <c r="D163" s="40">
        <v>2</v>
      </c>
      <c r="E163" s="25" t="s">
        <v>335</v>
      </c>
      <c r="F163" s="7" t="s">
        <v>394</v>
      </c>
      <c r="G163" s="30" t="s">
        <v>394</v>
      </c>
      <c r="H163" s="4" t="s">
        <v>338</v>
      </c>
      <c r="I163" s="29">
        <v>0</v>
      </c>
      <c r="J163" s="73">
        <v>464.79</v>
      </c>
      <c r="K163" s="67">
        <v>464.79</v>
      </c>
      <c r="L163" s="67">
        <v>464.79</v>
      </c>
      <c r="M163" s="67">
        <v>464.79</v>
      </c>
      <c r="N163" s="67">
        <v>464.79</v>
      </c>
      <c r="O163" s="67">
        <v>464.79</v>
      </c>
      <c r="P163" s="67">
        <v>464.79</v>
      </c>
      <c r="Q163" s="67">
        <v>464.79</v>
      </c>
      <c r="R163" s="67">
        <v>464.79</v>
      </c>
      <c r="S163" s="67">
        <v>464.79</v>
      </c>
      <c r="T163" s="67">
        <v>464.79</v>
      </c>
      <c r="U163" s="67">
        <v>464.79</v>
      </c>
      <c r="V163" s="67">
        <v>464.79</v>
      </c>
      <c r="W163" s="67">
        <v>464.79</v>
      </c>
      <c r="X163" s="67">
        <v>464.79</v>
      </c>
      <c r="Y163" s="67">
        <v>464.79</v>
      </c>
      <c r="Z163" s="67">
        <v>464.79</v>
      </c>
      <c r="AA163" s="67">
        <v>464.79</v>
      </c>
      <c r="AB163" s="67">
        <v>464.79</v>
      </c>
      <c r="AC163" s="67">
        <v>464.79</v>
      </c>
      <c r="AD163" s="67">
        <v>464.79</v>
      </c>
      <c r="AE163" s="67">
        <v>464.79</v>
      </c>
      <c r="AF163" s="67">
        <v>464.79</v>
      </c>
      <c r="AG163" s="67">
        <v>464.79</v>
      </c>
      <c r="AH163" s="67">
        <v>464.79</v>
      </c>
      <c r="AI163" s="67">
        <v>464.79</v>
      </c>
      <c r="AJ163" s="67">
        <v>464.79</v>
      </c>
      <c r="AK163" s="67">
        <v>464.79</v>
      </c>
      <c r="AL163" s="67">
        <v>464.79</v>
      </c>
      <c r="AM163" s="67">
        <v>464.79</v>
      </c>
      <c r="AN163" s="67">
        <v>464.79</v>
      </c>
      <c r="AO163" s="67">
        <v>464.79</v>
      </c>
      <c r="AP163" s="67">
        <v>464.79</v>
      </c>
    </row>
    <row r="164" spans="1:42" x14ac:dyDescent="0.3">
      <c r="A164" s="4">
        <v>33</v>
      </c>
      <c r="B164" s="4" t="s">
        <v>282</v>
      </c>
      <c r="C164" s="4" t="s">
        <v>283</v>
      </c>
      <c r="D164" s="4">
        <v>3</v>
      </c>
      <c r="E164" s="29" t="s">
        <v>339</v>
      </c>
      <c r="F164" s="7" t="s">
        <v>395</v>
      </c>
      <c r="G164" s="30" t="s">
        <v>396</v>
      </c>
      <c r="H164" s="4" t="s">
        <v>338</v>
      </c>
      <c r="I164" s="29">
        <v>0</v>
      </c>
      <c r="J164" s="73">
        <v>22552.739999999998</v>
      </c>
      <c r="K164" s="67">
        <v>21763.394099999998</v>
      </c>
      <c r="L164" s="67">
        <v>21001.675306499998</v>
      </c>
      <c r="M164" s="67">
        <v>20266.616670772499</v>
      </c>
      <c r="N164" s="67">
        <v>19557.285087295462</v>
      </c>
      <c r="O164" s="67">
        <v>18872.780109240121</v>
      </c>
      <c r="P164" s="67">
        <v>18212.232805416716</v>
      </c>
      <c r="Q164" s="67">
        <v>17574.804657227131</v>
      </c>
      <c r="R164" s="67">
        <v>16959.686494224181</v>
      </c>
      <c r="S164" s="67">
        <v>16272.819191208102</v>
      </c>
      <c r="T164" s="67">
        <v>15524.26950841253</v>
      </c>
      <c r="U164" s="67">
        <v>14724.769628729286</v>
      </c>
      <c r="V164" s="67">
        <v>13885.457759891719</v>
      </c>
      <c r="W164" s="67">
        <v>13017.616649898489</v>
      </c>
      <c r="X164" s="67">
        <v>12204.015609279837</v>
      </c>
      <c r="Y164" s="67">
        <v>11441.26463369985</v>
      </c>
      <c r="Z164" s="67">
        <v>10726.185594093611</v>
      </c>
      <c r="AA164" s="67">
        <v>10055.798994462762</v>
      </c>
      <c r="AB164" s="67">
        <v>9427.3115573088417</v>
      </c>
      <c r="AC164" s="67">
        <v>8838.1045849770417</v>
      </c>
      <c r="AD164" s="67">
        <v>8108.960956716438</v>
      </c>
      <c r="AE164" s="67">
        <v>7277.7924586530044</v>
      </c>
      <c r="AF164" s="67">
        <v>6386.2628824680123</v>
      </c>
      <c r="AG164" s="67">
        <v>5603.9456793656818</v>
      </c>
      <c r="AH164" s="67">
        <v>4917.462333643387</v>
      </c>
      <c r="AI164" s="67">
        <v>4315.0731977720725</v>
      </c>
      <c r="AJ164" s="67">
        <v>3786.4767310449943</v>
      </c>
      <c r="AK164" s="67">
        <v>3133.3094949397332</v>
      </c>
      <c r="AL164" s="67">
        <v>2436.1481323156427</v>
      </c>
      <c r="AM164" s="67">
        <v>1772.2977662596302</v>
      </c>
      <c r="AN164" s="67">
        <v>1200.7317366408995</v>
      </c>
      <c r="AO164" s="67">
        <v>753.45916474216438</v>
      </c>
      <c r="AP164" s="67">
        <v>435.12266763859986</v>
      </c>
    </row>
    <row r="165" spans="1:42" x14ac:dyDescent="0.3">
      <c r="A165" s="4">
        <v>33</v>
      </c>
      <c r="B165" s="4" t="s">
        <v>282</v>
      </c>
      <c r="C165" s="4" t="s">
        <v>283</v>
      </c>
      <c r="D165" s="4">
        <v>4</v>
      </c>
      <c r="E165" s="29" t="s">
        <v>340</v>
      </c>
      <c r="F165" s="7" t="s">
        <v>354</v>
      </c>
      <c r="G165" s="30"/>
      <c r="H165" s="4" t="s">
        <v>334</v>
      </c>
      <c r="I165" s="29">
        <v>0</v>
      </c>
      <c r="J165" s="73" t="s">
        <v>354</v>
      </c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</row>
    <row r="166" spans="1:42" x14ac:dyDescent="0.3">
      <c r="A166" s="4">
        <v>33</v>
      </c>
      <c r="B166" s="4" t="s">
        <v>282</v>
      </c>
      <c r="C166" s="4" t="s">
        <v>283</v>
      </c>
      <c r="D166" s="4">
        <v>5</v>
      </c>
      <c r="E166" s="29" t="s">
        <v>343</v>
      </c>
      <c r="F166" s="7" t="s">
        <v>354</v>
      </c>
      <c r="G166" s="30"/>
      <c r="H166" s="4" t="s">
        <v>334</v>
      </c>
      <c r="I166" s="29">
        <v>0</v>
      </c>
      <c r="J166" s="73" t="s">
        <v>354</v>
      </c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</row>
    <row r="167" spans="1:42" x14ac:dyDescent="0.3">
      <c r="A167" s="32">
        <v>34</v>
      </c>
      <c r="B167" s="32" t="s">
        <v>284</v>
      </c>
      <c r="C167" s="32" t="s">
        <v>285</v>
      </c>
      <c r="D167" s="32">
        <v>1</v>
      </c>
      <c r="E167" s="39" t="s">
        <v>333</v>
      </c>
      <c r="F167" s="24" t="s">
        <v>392</v>
      </c>
      <c r="G167" s="41" t="s">
        <v>393</v>
      </c>
      <c r="H167" s="32" t="s">
        <v>350</v>
      </c>
      <c r="I167" s="33">
        <v>0</v>
      </c>
      <c r="J167" s="74">
        <v>98642.15</v>
      </c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</row>
    <row r="168" spans="1:42" x14ac:dyDescent="0.3">
      <c r="A168" s="32">
        <v>34</v>
      </c>
      <c r="B168" s="32" t="s">
        <v>284</v>
      </c>
      <c r="C168" s="32" t="s">
        <v>285</v>
      </c>
      <c r="D168" s="32">
        <v>2</v>
      </c>
      <c r="E168" s="39" t="s">
        <v>335</v>
      </c>
      <c r="F168" s="18" t="s">
        <v>394</v>
      </c>
      <c r="G168" s="41" t="s">
        <v>394</v>
      </c>
      <c r="H168" s="32" t="s">
        <v>338</v>
      </c>
      <c r="I168" s="33">
        <v>0</v>
      </c>
      <c r="J168" s="74">
        <v>464.79</v>
      </c>
      <c r="K168" s="67">
        <v>464.79</v>
      </c>
      <c r="L168" s="67">
        <v>464.79</v>
      </c>
      <c r="M168" s="67">
        <v>464.79</v>
      </c>
      <c r="N168" s="67">
        <v>464.79</v>
      </c>
      <c r="O168" s="67">
        <v>464.79</v>
      </c>
      <c r="P168" s="67">
        <v>464.79</v>
      </c>
      <c r="Q168" s="67">
        <v>464.79</v>
      </c>
      <c r="R168" s="67">
        <v>464.79</v>
      </c>
      <c r="S168" s="67">
        <v>464.79</v>
      </c>
      <c r="T168" s="67">
        <v>464.79</v>
      </c>
      <c r="U168" s="67">
        <v>464.79</v>
      </c>
      <c r="V168" s="67">
        <v>464.79</v>
      </c>
      <c r="W168" s="67">
        <v>464.79</v>
      </c>
      <c r="X168" s="67">
        <v>464.79</v>
      </c>
      <c r="Y168" s="67">
        <v>464.79</v>
      </c>
      <c r="Z168" s="67">
        <v>464.79</v>
      </c>
      <c r="AA168" s="67">
        <v>464.79</v>
      </c>
      <c r="AB168" s="67">
        <v>464.79</v>
      </c>
      <c r="AC168" s="67">
        <v>464.79</v>
      </c>
      <c r="AD168" s="67">
        <v>464.79</v>
      </c>
      <c r="AE168" s="67">
        <v>464.79</v>
      </c>
      <c r="AF168" s="67">
        <v>464.79</v>
      </c>
      <c r="AG168" s="67">
        <v>464.79</v>
      </c>
      <c r="AH168" s="67">
        <v>464.79</v>
      </c>
      <c r="AI168" s="67">
        <v>464.79</v>
      </c>
      <c r="AJ168" s="67">
        <v>464.79</v>
      </c>
      <c r="AK168" s="67">
        <v>464.79</v>
      </c>
      <c r="AL168" s="67">
        <v>464.79</v>
      </c>
      <c r="AM168" s="67">
        <v>464.79</v>
      </c>
      <c r="AN168" s="67">
        <v>464.79</v>
      </c>
      <c r="AO168" s="67">
        <v>464.79</v>
      </c>
      <c r="AP168" s="67">
        <v>464.79</v>
      </c>
    </row>
    <row r="169" spans="1:42" x14ac:dyDescent="0.3">
      <c r="A169" s="32">
        <v>34</v>
      </c>
      <c r="B169" s="32" t="s">
        <v>284</v>
      </c>
      <c r="C169" s="32" t="s">
        <v>285</v>
      </c>
      <c r="D169" s="32">
        <v>3</v>
      </c>
      <c r="E169" s="39" t="s">
        <v>339</v>
      </c>
      <c r="F169" s="18" t="s">
        <v>395</v>
      </c>
      <c r="G169" s="41" t="s">
        <v>396</v>
      </c>
      <c r="H169" s="32" t="s">
        <v>338</v>
      </c>
      <c r="I169" s="33">
        <v>0</v>
      </c>
      <c r="J169" s="74">
        <v>230.13</v>
      </c>
      <c r="K169" s="67">
        <v>222.07544999999999</v>
      </c>
      <c r="L169" s="67">
        <v>214.30280925</v>
      </c>
      <c r="M169" s="67">
        <v>206.80221092624998</v>
      </c>
      <c r="N169" s="67">
        <v>199.56413354383122</v>
      </c>
      <c r="O169" s="67">
        <v>192.57938886979713</v>
      </c>
      <c r="P169" s="67">
        <v>185.83911025935421</v>
      </c>
      <c r="Q169" s="67">
        <v>179.33474140027681</v>
      </c>
      <c r="R169" s="67">
        <v>173.05802545126713</v>
      </c>
      <c r="S169" s="67">
        <v>166.04917542049083</v>
      </c>
      <c r="T169" s="67">
        <v>158.41091335114825</v>
      </c>
      <c r="U169" s="67">
        <v>150.25275131356415</v>
      </c>
      <c r="V169" s="67">
        <v>141.68834448869103</v>
      </c>
      <c r="W169" s="67">
        <v>132.83282295814786</v>
      </c>
      <c r="X169" s="67">
        <v>124.53077152326365</v>
      </c>
      <c r="Y169" s="67">
        <v>116.7475983030597</v>
      </c>
      <c r="Z169" s="67">
        <v>109.4508734091185</v>
      </c>
      <c r="AA169" s="67">
        <v>102.61019382104863</v>
      </c>
      <c r="AB169" s="67">
        <v>96.197056707233102</v>
      </c>
      <c r="AC169" s="67">
        <v>90.18474066303105</v>
      </c>
      <c r="AD169" s="67">
        <v>82.744499558331</v>
      </c>
      <c r="AE169" s="67">
        <v>74.263188353602089</v>
      </c>
      <c r="AF169" s="67">
        <v>65.165947780285848</v>
      </c>
      <c r="AG169" s="67">
        <v>57.183119177200844</v>
      </c>
      <c r="AH169" s="67">
        <v>50.178187077993748</v>
      </c>
      <c r="AI169" s="67">
        <v>44.031359160939523</v>
      </c>
      <c r="AJ169" s="67">
        <v>38.637517663724438</v>
      </c>
      <c r="AK169" s="67">
        <v>31.972545866731977</v>
      </c>
      <c r="AL169" s="67">
        <v>24.858654411384116</v>
      </c>
      <c r="AM169" s="67">
        <v>18.084671084281943</v>
      </c>
      <c r="AN169" s="67">
        <v>12.252364659601016</v>
      </c>
      <c r="AO169" s="67">
        <v>7.6883588238996365</v>
      </c>
      <c r="AP169" s="67">
        <v>4.4400272208020395</v>
      </c>
    </row>
    <row r="170" spans="1:42" x14ac:dyDescent="0.3">
      <c r="A170" s="32">
        <v>34</v>
      </c>
      <c r="B170" s="32" t="s">
        <v>284</v>
      </c>
      <c r="C170" s="32" t="s">
        <v>285</v>
      </c>
      <c r="D170" s="32">
        <v>4</v>
      </c>
      <c r="E170" s="33" t="s">
        <v>340</v>
      </c>
      <c r="F170" s="13" t="s">
        <v>354</v>
      </c>
      <c r="G170" s="34"/>
      <c r="H170" s="32" t="s">
        <v>334</v>
      </c>
      <c r="I170" s="33">
        <v>0</v>
      </c>
      <c r="J170" s="74" t="s">
        <v>354</v>
      </c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</row>
    <row r="171" spans="1:42" x14ac:dyDescent="0.3">
      <c r="A171" s="32">
        <v>34</v>
      </c>
      <c r="B171" s="32" t="s">
        <v>284</v>
      </c>
      <c r="C171" s="32" t="s">
        <v>285</v>
      </c>
      <c r="D171" s="32">
        <v>5</v>
      </c>
      <c r="E171" s="33" t="s">
        <v>343</v>
      </c>
      <c r="F171" s="13" t="s">
        <v>354</v>
      </c>
      <c r="G171" s="34"/>
      <c r="H171" s="32" t="s">
        <v>334</v>
      </c>
      <c r="I171" s="33">
        <v>0</v>
      </c>
      <c r="J171" s="74" t="s">
        <v>354</v>
      </c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</row>
    <row r="172" spans="1:42" x14ac:dyDescent="0.3">
      <c r="A172" s="4">
        <v>35</v>
      </c>
      <c r="B172" s="4" t="s">
        <v>286</v>
      </c>
      <c r="C172" s="4" t="s">
        <v>287</v>
      </c>
      <c r="D172" s="4">
        <v>1</v>
      </c>
      <c r="E172" s="29" t="s">
        <v>333</v>
      </c>
      <c r="F172" s="7" t="s">
        <v>404</v>
      </c>
      <c r="G172" s="30" t="s">
        <v>393</v>
      </c>
      <c r="H172" s="4" t="s">
        <v>350</v>
      </c>
      <c r="I172" s="29">
        <v>0</v>
      </c>
      <c r="J172" s="73">
        <v>1.4000999999999999</v>
      </c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</row>
    <row r="173" spans="1:42" x14ac:dyDescent="0.3">
      <c r="A173" s="4">
        <v>35</v>
      </c>
      <c r="B173" s="4" t="s">
        <v>286</v>
      </c>
      <c r="C173" s="4" t="s">
        <v>287</v>
      </c>
      <c r="D173" s="4">
        <v>2</v>
      </c>
      <c r="E173" s="29" t="s">
        <v>335</v>
      </c>
      <c r="F173" s="7" t="s">
        <v>394</v>
      </c>
      <c r="G173" s="30" t="s">
        <v>394</v>
      </c>
      <c r="H173" s="4" t="s">
        <v>338</v>
      </c>
      <c r="I173" s="29">
        <v>0</v>
      </c>
      <c r="J173" s="73">
        <v>387.84</v>
      </c>
      <c r="K173" s="67">
        <v>387.84</v>
      </c>
      <c r="L173" s="67">
        <v>387.84</v>
      </c>
      <c r="M173" s="67">
        <v>387.84</v>
      </c>
      <c r="N173" s="67">
        <v>387.84</v>
      </c>
      <c r="O173" s="67">
        <v>387.84</v>
      </c>
      <c r="P173" s="67">
        <v>387.84</v>
      </c>
      <c r="Q173" s="67">
        <v>387.84</v>
      </c>
      <c r="R173" s="67">
        <v>387.84</v>
      </c>
      <c r="S173" s="67">
        <v>387.84</v>
      </c>
      <c r="T173" s="67">
        <v>387.84</v>
      </c>
      <c r="U173" s="67">
        <v>387.84</v>
      </c>
      <c r="V173" s="67">
        <v>387.84</v>
      </c>
      <c r="W173" s="67">
        <v>387.84</v>
      </c>
      <c r="X173" s="67">
        <v>387.84</v>
      </c>
      <c r="Y173" s="67">
        <v>387.84</v>
      </c>
      <c r="Z173" s="67">
        <v>387.84</v>
      </c>
      <c r="AA173" s="67">
        <v>387.84</v>
      </c>
      <c r="AB173" s="67">
        <v>387.84</v>
      </c>
      <c r="AC173" s="67">
        <v>387.84</v>
      </c>
      <c r="AD173" s="67">
        <v>387.84</v>
      </c>
      <c r="AE173" s="67">
        <v>387.84</v>
      </c>
      <c r="AF173" s="67">
        <v>387.84</v>
      </c>
      <c r="AG173" s="67">
        <v>387.84</v>
      </c>
      <c r="AH173" s="67">
        <v>387.84</v>
      </c>
      <c r="AI173" s="67">
        <v>387.84</v>
      </c>
      <c r="AJ173" s="67">
        <v>387.84</v>
      </c>
      <c r="AK173" s="67">
        <v>387.84</v>
      </c>
      <c r="AL173" s="67">
        <v>387.84</v>
      </c>
      <c r="AM173" s="67">
        <v>387.84</v>
      </c>
      <c r="AN173" s="67">
        <v>387.84</v>
      </c>
      <c r="AO173" s="67">
        <v>387.84</v>
      </c>
      <c r="AP173" s="67">
        <v>387.84</v>
      </c>
    </row>
    <row r="174" spans="1:42" x14ac:dyDescent="0.3">
      <c r="A174" s="4">
        <v>35</v>
      </c>
      <c r="B174" s="4" t="s">
        <v>286</v>
      </c>
      <c r="C174" s="4" t="s">
        <v>287</v>
      </c>
      <c r="D174" s="4">
        <v>3</v>
      </c>
      <c r="E174" s="29" t="s">
        <v>339</v>
      </c>
      <c r="F174" s="7" t="s">
        <v>395</v>
      </c>
      <c r="G174" s="30" t="s">
        <v>396</v>
      </c>
      <c r="H174" s="4" t="s">
        <v>334</v>
      </c>
      <c r="I174" s="29">
        <v>0</v>
      </c>
      <c r="J174" s="73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</row>
    <row r="175" spans="1:42" x14ac:dyDescent="0.3">
      <c r="A175" s="4">
        <v>35</v>
      </c>
      <c r="B175" s="4" t="s">
        <v>286</v>
      </c>
      <c r="C175" s="4" t="s">
        <v>287</v>
      </c>
      <c r="D175" s="4">
        <v>4</v>
      </c>
      <c r="E175" s="29" t="s">
        <v>340</v>
      </c>
      <c r="F175" s="7" t="s">
        <v>354</v>
      </c>
      <c r="G175" s="30"/>
      <c r="H175" s="4" t="s">
        <v>334</v>
      </c>
      <c r="I175" s="29">
        <v>0</v>
      </c>
      <c r="J175" s="73" t="s">
        <v>354</v>
      </c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</row>
    <row r="176" spans="1:42" x14ac:dyDescent="0.3">
      <c r="A176" s="4">
        <v>35</v>
      </c>
      <c r="B176" s="4" t="s">
        <v>286</v>
      </c>
      <c r="C176" s="4" t="s">
        <v>287</v>
      </c>
      <c r="D176" s="4">
        <v>5</v>
      </c>
      <c r="E176" s="29" t="s">
        <v>343</v>
      </c>
      <c r="F176" s="7" t="s">
        <v>354</v>
      </c>
      <c r="G176" s="30"/>
      <c r="H176" s="4" t="s">
        <v>334</v>
      </c>
      <c r="I176" s="29">
        <v>0</v>
      </c>
      <c r="J176" s="73" t="s">
        <v>354</v>
      </c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</row>
    <row r="177" spans="1:42" x14ac:dyDescent="0.3">
      <c r="A177" s="32">
        <v>36</v>
      </c>
      <c r="B177" s="32" t="s">
        <v>288</v>
      </c>
      <c r="C177" s="32" t="s">
        <v>289</v>
      </c>
      <c r="D177" s="32">
        <v>1</v>
      </c>
      <c r="E177" s="33" t="s">
        <v>333</v>
      </c>
      <c r="F177" s="24" t="s">
        <v>392</v>
      </c>
      <c r="G177" s="34" t="s">
        <v>393</v>
      </c>
      <c r="H177" s="32" t="s">
        <v>398</v>
      </c>
      <c r="I177" s="33">
        <v>0</v>
      </c>
      <c r="J177" s="74">
        <v>120000</v>
      </c>
      <c r="K177" s="67">
        <v>0.99709497206703912</v>
      </c>
      <c r="L177" s="67">
        <v>0.994413407821229</v>
      </c>
      <c r="M177" s="67">
        <v>0.99150837988826812</v>
      </c>
      <c r="N177" s="67">
        <v>0.98882681564245811</v>
      </c>
      <c r="O177" s="67">
        <v>0.98592178770949723</v>
      </c>
      <c r="P177" s="67">
        <v>0.98324022346368711</v>
      </c>
      <c r="Q177" s="67">
        <v>0.98033519553072623</v>
      </c>
      <c r="R177" s="67">
        <v>0.97765363128491622</v>
      </c>
      <c r="S177" s="67">
        <v>0.97474860335195534</v>
      </c>
      <c r="T177" s="67">
        <v>0.97206703910614523</v>
      </c>
      <c r="U177" s="67">
        <v>0.96916201117318435</v>
      </c>
      <c r="V177" s="67">
        <v>0.96648044692737434</v>
      </c>
      <c r="W177" s="67">
        <v>0.96357541899441346</v>
      </c>
      <c r="X177" s="67">
        <v>0.96067039106145247</v>
      </c>
      <c r="Y177" s="67">
        <v>0.95798882681564246</v>
      </c>
      <c r="Z177" s="67">
        <v>0.95508379888268158</v>
      </c>
      <c r="AA177" s="67">
        <v>0.95240223463687146</v>
      </c>
      <c r="AB177" s="67">
        <v>0.94949720670391058</v>
      </c>
      <c r="AC177" s="67">
        <v>0.94681564245810057</v>
      </c>
      <c r="AD177" s="67">
        <v>0.94391061452513969</v>
      </c>
      <c r="AE177" s="67">
        <v>0.94122905027932957</v>
      </c>
      <c r="AF177" s="67">
        <v>0.93832402234636869</v>
      </c>
      <c r="AG177" s="67">
        <v>0.93564245810055868</v>
      </c>
      <c r="AH177" s="67">
        <v>0.9327374301675978</v>
      </c>
      <c r="AI177" s="67">
        <v>0.93005586592178768</v>
      </c>
      <c r="AJ177" s="67">
        <v>0.9271508379888268</v>
      </c>
      <c r="AK177" s="67">
        <v>0.92424581005586592</v>
      </c>
      <c r="AL177" s="67">
        <v>0.92156424581005592</v>
      </c>
      <c r="AM177" s="67">
        <v>0.91865921787709492</v>
      </c>
      <c r="AN177" s="67">
        <v>0.91597765363128492</v>
      </c>
      <c r="AO177" s="67">
        <v>0.91307262569832404</v>
      </c>
      <c r="AP177" s="67">
        <v>0.91039106145251392</v>
      </c>
    </row>
    <row r="178" spans="1:42" x14ac:dyDescent="0.3">
      <c r="A178" s="32">
        <v>36</v>
      </c>
      <c r="B178" s="32" t="s">
        <v>288</v>
      </c>
      <c r="C178" s="32" t="s">
        <v>289</v>
      </c>
      <c r="D178" s="32">
        <v>2</v>
      </c>
      <c r="E178" s="33" t="s">
        <v>335</v>
      </c>
      <c r="F178" s="13" t="s">
        <v>394</v>
      </c>
      <c r="G178" s="34" t="s">
        <v>394</v>
      </c>
      <c r="H178" s="32" t="s">
        <v>338</v>
      </c>
      <c r="I178" s="33">
        <v>0</v>
      </c>
      <c r="J178" s="74">
        <v>153.38069999999999</v>
      </c>
      <c r="K178" s="67">
        <v>153.38069999999999</v>
      </c>
      <c r="L178" s="67">
        <v>153.38069999999999</v>
      </c>
      <c r="M178" s="67">
        <v>153.38069999999999</v>
      </c>
      <c r="N178" s="67">
        <v>153.38069999999999</v>
      </c>
      <c r="O178" s="67">
        <v>153.38069999999999</v>
      </c>
      <c r="P178" s="67">
        <v>153.38069999999999</v>
      </c>
      <c r="Q178" s="67">
        <v>153.38069999999999</v>
      </c>
      <c r="R178" s="67">
        <v>153.38069999999999</v>
      </c>
      <c r="S178" s="67">
        <v>153.38069999999999</v>
      </c>
      <c r="T178" s="67">
        <v>153.38069999999999</v>
      </c>
      <c r="U178" s="67">
        <v>153.38069999999999</v>
      </c>
      <c r="V178" s="67">
        <v>153.38069999999999</v>
      </c>
      <c r="W178" s="67">
        <v>153.38069999999999</v>
      </c>
      <c r="X178" s="67">
        <v>153.38069999999999</v>
      </c>
      <c r="Y178" s="67">
        <v>153.38069999999999</v>
      </c>
      <c r="Z178" s="67">
        <v>153.38069999999999</v>
      </c>
      <c r="AA178" s="67">
        <v>153.38069999999999</v>
      </c>
      <c r="AB178" s="67">
        <v>153.38069999999999</v>
      </c>
      <c r="AC178" s="67">
        <v>153.38069999999999</v>
      </c>
      <c r="AD178" s="67">
        <v>153.38069999999999</v>
      </c>
      <c r="AE178" s="67">
        <v>153.38069999999999</v>
      </c>
      <c r="AF178" s="67">
        <v>153.38069999999999</v>
      </c>
      <c r="AG178" s="67">
        <v>153.38069999999999</v>
      </c>
      <c r="AH178" s="67">
        <v>153.38069999999999</v>
      </c>
      <c r="AI178" s="67">
        <v>153.38069999999999</v>
      </c>
      <c r="AJ178" s="67">
        <v>153.38069999999999</v>
      </c>
      <c r="AK178" s="67">
        <v>153.38069999999999</v>
      </c>
      <c r="AL178" s="67">
        <v>153.38069999999999</v>
      </c>
      <c r="AM178" s="67">
        <v>153.38069999999999</v>
      </c>
      <c r="AN178" s="67">
        <v>153.38069999999999</v>
      </c>
      <c r="AO178" s="67">
        <v>153.38069999999999</v>
      </c>
      <c r="AP178" s="67">
        <v>153.38069999999999</v>
      </c>
    </row>
    <row r="179" spans="1:42" x14ac:dyDescent="0.3">
      <c r="A179" s="32">
        <v>36</v>
      </c>
      <c r="B179" s="32" t="s">
        <v>288</v>
      </c>
      <c r="C179" s="32" t="s">
        <v>289</v>
      </c>
      <c r="D179" s="32">
        <v>3</v>
      </c>
      <c r="E179" s="33" t="s">
        <v>339</v>
      </c>
      <c r="F179" s="13" t="s">
        <v>395</v>
      </c>
      <c r="G179" s="34" t="s">
        <v>396</v>
      </c>
      <c r="H179" s="32" t="s">
        <v>334</v>
      </c>
      <c r="I179" s="33">
        <v>0</v>
      </c>
      <c r="J179" s="74" t="s">
        <v>354</v>
      </c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</row>
    <row r="180" spans="1:42" x14ac:dyDescent="0.3">
      <c r="A180" s="32">
        <v>36</v>
      </c>
      <c r="B180" s="32" t="s">
        <v>288</v>
      </c>
      <c r="C180" s="32" t="s">
        <v>289</v>
      </c>
      <c r="D180" s="32">
        <v>4</v>
      </c>
      <c r="E180" s="33" t="s">
        <v>340</v>
      </c>
      <c r="F180" s="13" t="s">
        <v>354</v>
      </c>
      <c r="G180" s="34"/>
      <c r="H180" s="32" t="s">
        <v>334</v>
      </c>
      <c r="I180" s="33">
        <v>0</v>
      </c>
      <c r="J180" s="74" t="s">
        <v>354</v>
      </c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</row>
    <row r="181" spans="1:42" x14ac:dyDescent="0.3">
      <c r="A181" s="32">
        <v>36</v>
      </c>
      <c r="B181" s="32" t="s">
        <v>288</v>
      </c>
      <c r="C181" s="32" t="s">
        <v>289</v>
      </c>
      <c r="D181" s="32">
        <v>5</v>
      </c>
      <c r="E181" s="33" t="s">
        <v>343</v>
      </c>
      <c r="F181" s="13" t="s">
        <v>354</v>
      </c>
      <c r="G181" s="34"/>
      <c r="H181" s="32" t="s">
        <v>334</v>
      </c>
      <c r="I181" s="33">
        <v>0</v>
      </c>
      <c r="J181" s="74" t="s">
        <v>354</v>
      </c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</row>
    <row r="182" spans="1:42" x14ac:dyDescent="0.3">
      <c r="A182" s="4">
        <v>37</v>
      </c>
      <c r="B182" s="4" t="s">
        <v>290</v>
      </c>
      <c r="C182" s="4" t="s">
        <v>291</v>
      </c>
      <c r="D182" s="4">
        <v>1</v>
      </c>
      <c r="E182" s="29" t="s">
        <v>333</v>
      </c>
      <c r="F182" s="7" t="s">
        <v>404</v>
      </c>
      <c r="G182" s="30" t="s">
        <v>393</v>
      </c>
      <c r="H182" s="4" t="s">
        <v>398</v>
      </c>
      <c r="I182" s="29">
        <v>0</v>
      </c>
      <c r="J182" s="73">
        <v>3.7086000000000001</v>
      </c>
      <c r="K182" s="67">
        <v>0.99373946544666503</v>
      </c>
      <c r="L182" s="67">
        <v>0.98747893089333016</v>
      </c>
      <c r="M182" s="67">
        <v>0.98133879123525158</v>
      </c>
      <c r="N182" s="67">
        <v>0.97507825668191672</v>
      </c>
      <c r="O182" s="67">
        <v>0.96881772212858175</v>
      </c>
      <c r="P182" s="67">
        <v>0.96267758247050328</v>
      </c>
      <c r="Q182" s="67">
        <v>0.95641704791716831</v>
      </c>
      <c r="R182" s="67">
        <v>0.95015651336383333</v>
      </c>
      <c r="S182" s="67">
        <v>0.94401637370575486</v>
      </c>
      <c r="T182" s="67">
        <v>0.93775583915241989</v>
      </c>
      <c r="U182" s="67">
        <v>0.93149530459908503</v>
      </c>
      <c r="V182" s="67">
        <v>0.92523477004575005</v>
      </c>
      <c r="W182" s="67">
        <v>0.91909463038767159</v>
      </c>
      <c r="X182" s="67">
        <v>0.91283409583433661</v>
      </c>
      <c r="Y182" s="67">
        <v>0.90657356128100164</v>
      </c>
      <c r="Z182" s="67">
        <v>0.90043342162292317</v>
      </c>
      <c r="AA182" s="67">
        <v>0.8941728870695882</v>
      </c>
      <c r="AB182" s="67">
        <v>0.88791235251625333</v>
      </c>
      <c r="AC182" s="67">
        <v>0.88165181796291836</v>
      </c>
      <c r="AD182" s="67">
        <v>0.87551167830483989</v>
      </c>
      <c r="AE182" s="67">
        <v>0.86925114375150492</v>
      </c>
      <c r="AF182" s="67">
        <v>0.86299060919816994</v>
      </c>
      <c r="AG182" s="67">
        <v>0.85685046954009148</v>
      </c>
      <c r="AH182" s="67">
        <v>0.85058993498675661</v>
      </c>
      <c r="AI182" s="67">
        <v>0.84432940043342164</v>
      </c>
      <c r="AJ182" s="67">
        <v>0.83818926077534317</v>
      </c>
      <c r="AK182" s="67">
        <v>0.8319287262220082</v>
      </c>
      <c r="AL182" s="67">
        <v>0.82566819166867322</v>
      </c>
      <c r="AM182" s="67">
        <v>0.81940765711533836</v>
      </c>
      <c r="AN182" s="67">
        <v>0.81326751745725978</v>
      </c>
      <c r="AO182" s="67">
        <v>0.80700698290392492</v>
      </c>
      <c r="AP182" s="67">
        <v>0.80074644835058995</v>
      </c>
    </row>
    <row r="183" spans="1:42" x14ac:dyDescent="0.3">
      <c r="A183" s="4">
        <v>37</v>
      </c>
      <c r="B183" s="4" t="s">
        <v>290</v>
      </c>
      <c r="C183" s="4" t="s">
        <v>291</v>
      </c>
      <c r="D183" s="4">
        <v>2</v>
      </c>
      <c r="E183" s="29" t="s">
        <v>335</v>
      </c>
      <c r="F183" s="7" t="s">
        <v>394</v>
      </c>
      <c r="G183" s="30" t="s">
        <v>394</v>
      </c>
      <c r="H183" s="4" t="s">
        <v>338</v>
      </c>
      <c r="I183" s="29">
        <v>0</v>
      </c>
      <c r="J183" s="73">
        <v>153.38069999999999</v>
      </c>
      <c r="K183" s="67">
        <v>153.38069999999999</v>
      </c>
      <c r="L183" s="67">
        <v>153.38069999999999</v>
      </c>
      <c r="M183" s="67">
        <v>153.38069999999999</v>
      </c>
      <c r="N183" s="67">
        <v>153.38069999999999</v>
      </c>
      <c r="O183" s="67">
        <v>153.38069999999999</v>
      </c>
      <c r="P183" s="67">
        <v>153.38069999999999</v>
      </c>
      <c r="Q183" s="67">
        <v>153.38069999999999</v>
      </c>
      <c r="R183" s="67">
        <v>153.38069999999999</v>
      </c>
      <c r="S183" s="67">
        <v>153.38069999999999</v>
      </c>
      <c r="T183" s="67">
        <v>153.38069999999999</v>
      </c>
      <c r="U183" s="67">
        <v>153.38069999999999</v>
      </c>
      <c r="V183" s="67">
        <v>153.38069999999999</v>
      </c>
      <c r="W183" s="67">
        <v>153.38069999999999</v>
      </c>
      <c r="X183" s="67">
        <v>153.38069999999999</v>
      </c>
      <c r="Y183" s="67">
        <v>153.38069999999999</v>
      </c>
      <c r="Z183" s="67">
        <v>153.38069999999999</v>
      </c>
      <c r="AA183" s="67">
        <v>153.38069999999999</v>
      </c>
      <c r="AB183" s="67">
        <v>153.38069999999999</v>
      </c>
      <c r="AC183" s="67">
        <v>153.38069999999999</v>
      </c>
      <c r="AD183" s="67">
        <v>153.38069999999999</v>
      </c>
      <c r="AE183" s="67">
        <v>153.38069999999999</v>
      </c>
      <c r="AF183" s="67">
        <v>153.38069999999999</v>
      </c>
      <c r="AG183" s="67">
        <v>153.38069999999999</v>
      </c>
      <c r="AH183" s="67">
        <v>153.38069999999999</v>
      </c>
      <c r="AI183" s="67">
        <v>153.38069999999999</v>
      </c>
      <c r="AJ183" s="67">
        <v>153.38069999999999</v>
      </c>
      <c r="AK183" s="67">
        <v>153.38069999999999</v>
      </c>
      <c r="AL183" s="67">
        <v>153.38069999999999</v>
      </c>
      <c r="AM183" s="67">
        <v>153.38069999999999</v>
      </c>
      <c r="AN183" s="67">
        <v>153.38069999999999</v>
      </c>
      <c r="AO183" s="67">
        <v>153.38069999999999</v>
      </c>
      <c r="AP183" s="67">
        <v>153.38069999999999</v>
      </c>
    </row>
    <row r="184" spans="1:42" x14ac:dyDescent="0.3">
      <c r="A184" s="4">
        <v>37</v>
      </c>
      <c r="B184" s="4" t="s">
        <v>290</v>
      </c>
      <c r="C184" s="4" t="s">
        <v>291</v>
      </c>
      <c r="D184" s="4">
        <v>3</v>
      </c>
      <c r="E184" s="29" t="s">
        <v>339</v>
      </c>
      <c r="F184" s="7" t="s">
        <v>395</v>
      </c>
      <c r="G184" s="30" t="s">
        <v>396</v>
      </c>
      <c r="H184" s="4" t="s">
        <v>334</v>
      </c>
      <c r="I184" s="29">
        <v>0</v>
      </c>
      <c r="J184" s="73" t="s">
        <v>354</v>
      </c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67"/>
      <c r="AK184" s="67"/>
      <c r="AL184" s="67"/>
      <c r="AM184" s="67"/>
      <c r="AN184" s="67"/>
      <c r="AO184" s="67"/>
      <c r="AP184" s="67"/>
    </row>
    <row r="185" spans="1:42" x14ac:dyDescent="0.3">
      <c r="A185" s="4">
        <v>37</v>
      </c>
      <c r="B185" s="4" t="s">
        <v>290</v>
      </c>
      <c r="C185" s="4" t="s">
        <v>291</v>
      </c>
      <c r="D185" s="4">
        <v>4</v>
      </c>
      <c r="E185" s="29" t="s">
        <v>340</v>
      </c>
      <c r="F185" s="7" t="s">
        <v>354</v>
      </c>
      <c r="G185" s="30"/>
      <c r="H185" s="4" t="s">
        <v>334</v>
      </c>
      <c r="I185" s="29">
        <v>0</v>
      </c>
      <c r="J185" s="73" t="s">
        <v>354</v>
      </c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67"/>
      <c r="AK185" s="67"/>
      <c r="AL185" s="67"/>
      <c r="AM185" s="67"/>
      <c r="AN185" s="67"/>
      <c r="AO185" s="67"/>
      <c r="AP185" s="67"/>
    </row>
    <row r="186" spans="1:42" x14ac:dyDescent="0.3">
      <c r="A186" s="4">
        <v>37</v>
      </c>
      <c r="B186" s="4" t="s">
        <v>290</v>
      </c>
      <c r="C186" s="4" t="s">
        <v>291</v>
      </c>
      <c r="D186" s="4">
        <v>5</v>
      </c>
      <c r="E186" s="29" t="s">
        <v>343</v>
      </c>
      <c r="F186" s="7" t="s">
        <v>354</v>
      </c>
      <c r="G186" s="30"/>
      <c r="H186" s="4" t="s">
        <v>334</v>
      </c>
      <c r="I186" s="29">
        <v>0</v>
      </c>
      <c r="J186" s="73" t="s">
        <v>354</v>
      </c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67"/>
      <c r="AK186" s="67"/>
      <c r="AL186" s="67"/>
      <c r="AM186" s="67"/>
      <c r="AN186" s="67"/>
      <c r="AO186" s="67"/>
      <c r="AP186" s="67"/>
    </row>
    <row r="187" spans="1:42" x14ac:dyDescent="0.3">
      <c r="A187" s="32">
        <v>38</v>
      </c>
      <c r="B187" s="32" t="s">
        <v>292</v>
      </c>
      <c r="C187" s="32" t="s">
        <v>293</v>
      </c>
      <c r="D187" s="32">
        <v>1</v>
      </c>
      <c r="E187" s="33" t="s">
        <v>333</v>
      </c>
      <c r="F187" s="13" t="s">
        <v>404</v>
      </c>
      <c r="G187" s="34" t="s">
        <v>393</v>
      </c>
      <c r="H187" s="32" t="s">
        <v>350</v>
      </c>
      <c r="I187" s="33">
        <v>0</v>
      </c>
      <c r="J187" s="74">
        <v>1.4773000000000001</v>
      </c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67"/>
      <c r="AK187" s="67"/>
      <c r="AL187" s="67"/>
      <c r="AM187" s="67"/>
      <c r="AN187" s="67"/>
      <c r="AO187" s="67"/>
      <c r="AP187" s="67"/>
    </row>
    <row r="188" spans="1:42" x14ac:dyDescent="0.3">
      <c r="A188" s="32">
        <v>38</v>
      </c>
      <c r="B188" s="32" t="s">
        <v>292</v>
      </c>
      <c r="C188" s="32" t="s">
        <v>293</v>
      </c>
      <c r="D188" s="32">
        <v>2</v>
      </c>
      <c r="E188" s="33" t="s">
        <v>335</v>
      </c>
      <c r="F188" s="13" t="s">
        <v>394</v>
      </c>
      <c r="G188" s="34" t="s">
        <v>394</v>
      </c>
      <c r="H188" s="32" t="s">
        <v>338</v>
      </c>
      <c r="I188" s="33">
        <v>0</v>
      </c>
      <c r="J188" s="74">
        <v>232.39500000000001</v>
      </c>
      <c r="K188" s="67">
        <v>232.39500000000001</v>
      </c>
      <c r="L188" s="67">
        <v>232.39500000000001</v>
      </c>
      <c r="M188" s="67">
        <v>232.39500000000001</v>
      </c>
      <c r="N188" s="67">
        <v>232.39500000000001</v>
      </c>
      <c r="O188" s="67">
        <v>232.39500000000001</v>
      </c>
      <c r="P188" s="67">
        <v>232.39500000000001</v>
      </c>
      <c r="Q188" s="67">
        <v>232.39500000000001</v>
      </c>
      <c r="R188" s="67">
        <v>232.39500000000001</v>
      </c>
      <c r="S188" s="67">
        <v>232.39500000000001</v>
      </c>
      <c r="T188" s="67">
        <v>232.39500000000001</v>
      </c>
      <c r="U188" s="67">
        <v>232.39500000000001</v>
      </c>
      <c r="V188" s="67">
        <v>232.39500000000001</v>
      </c>
      <c r="W188" s="67">
        <v>232.39500000000001</v>
      </c>
      <c r="X188" s="67">
        <v>232.39500000000001</v>
      </c>
      <c r="Y188" s="67">
        <v>232.39500000000001</v>
      </c>
      <c r="Z188" s="67">
        <v>232.39500000000001</v>
      </c>
      <c r="AA188" s="67">
        <v>232.39500000000001</v>
      </c>
      <c r="AB188" s="67">
        <v>232.39500000000001</v>
      </c>
      <c r="AC188" s="67">
        <v>232.39500000000001</v>
      </c>
      <c r="AD188" s="67">
        <v>232.39500000000001</v>
      </c>
      <c r="AE188" s="67">
        <v>232.39500000000001</v>
      </c>
      <c r="AF188" s="67">
        <v>232.39500000000001</v>
      </c>
      <c r="AG188" s="67">
        <v>232.39500000000001</v>
      </c>
      <c r="AH188" s="67">
        <v>232.39500000000001</v>
      </c>
      <c r="AI188" s="67">
        <v>232.39500000000001</v>
      </c>
      <c r="AJ188" s="67">
        <v>232.39500000000001</v>
      </c>
      <c r="AK188" s="67">
        <v>232.39500000000001</v>
      </c>
      <c r="AL188" s="67">
        <v>232.39500000000001</v>
      </c>
      <c r="AM188" s="67">
        <v>232.39500000000001</v>
      </c>
      <c r="AN188" s="67">
        <v>232.39500000000001</v>
      </c>
      <c r="AO188" s="67">
        <v>232.39500000000001</v>
      </c>
      <c r="AP188" s="67">
        <v>232.39500000000001</v>
      </c>
    </row>
    <row r="189" spans="1:42" x14ac:dyDescent="0.3">
      <c r="A189" s="32">
        <v>38</v>
      </c>
      <c r="B189" s="32" t="s">
        <v>292</v>
      </c>
      <c r="C189" s="32" t="s">
        <v>293</v>
      </c>
      <c r="D189" s="32">
        <v>3</v>
      </c>
      <c r="E189" s="33" t="s">
        <v>339</v>
      </c>
      <c r="F189" s="13" t="s">
        <v>395</v>
      </c>
      <c r="G189" s="34" t="s">
        <v>396</v>
      </c>
      <c r="H189" s="32" t="s">
        <v>334</v>
      </c>
      <c r="I189" s="33">
        <v>0</v>
      </c>
      <c r="J189" s="74" t="s">
        <v>354</v>
      </c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</row>
    <row r="190" spans="1:42" x14ac:dyDescent="0.3">
      <c r="A190" s="32">
        <v>38</v>
      </c>
      <c r="B190" s="32" t="s">
        <v>292</v>
      </c>
      <c r="C190" s="32" t="s">
        <v>293</v>
      </c>
      <c r="D190" s="32">
        <v>4</v>
      </c>
      <c r="E190" s="33" t="s">
        <v>340</v>
      </c>
      <c r="F190" s="13" t="s">
        <v>354</v>
      </c>
      <c r="G190" s="34"/>
      <c r="H190" s="32" t="s">
        <v>334</v>
      </c>
      <c r="I190" s="33">
        <v>0</v>
      </c>
      <c r="J190" s="74" t="s">
        <v>354</v>
      </c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</row>
    <row r="191" spans="1:42" x14ac:dyDescent="0.3">
      <c r="A191" s="32">
        <v>38</v>
      </c>
      <c r="B191" s="32" t="s">
        <v>292</v>
      </c>
      <c r="C191" s="32" t="s">
        <v>293</v>
      </c>
      <c r="D191" s="32">
        <v>5</v>
      </c>
      <c r="E191" s="33" t="s">
        <v>343</v>
      </c>
      <c r="F191" s="13" t="s">
        <v>354</v>
      </c>
      <c r="G191" s="34"/>
      <c r="H191" s="32" t="s">
        <v>334</v>
      </c>
      <c r="I191" s="33">
        <v>0</v>
      </c>
      <c r="J191" s="74" t="s">
        <v>354</v>
      </c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</row>
    <row r="192" spans="1:42" x14ac:dyDescent="0.3">
      <c r="A192" s="4">
        <v>39</v>
      </c>
      <c r="B192" s="4" t="s">
        <v>294</v>
      </c>
      <c r="C192" s="4" t="s">
        <v>295</v>
      </c>
      <c r="D192" s="4">
        <v>1</v>
      </c>
      <c r="E192" s="29" t="s">
        <v>333</v>
      </c>
      <c r="F192" s="7" t="s">
        <v>392</v>
      </c>
      <c r="G192" s="30" t="s">
        <v>393</v>
      </c>
      <c r="H192" s="4" t="s">
        <v>350</v>
      </c>
      <c r="I192" s="29">
        <v>0</v>
      </c>
      <c r="J192" s="73">
        <v>17466.62</v>
      </c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</row>
    <row r="193" spans="1:42" x14ac:dyDescent="0.3">
      <c r="A193" s="4">
        <v>39</v>
      </c>
      <c r="B193" s="4" t="s">
        <v>294</v>
      </c>
      <c r="C193" s="4" t="s">
        <v>295</v>
      </c>
      <c r="D193" s="4">
        <v>2</v>
      </c>
      <c r="E193" s="29" t="s">
        <v>335</v>
      </c>
      <c r="F193" s="7" t="s">
        <v>394</v>
      </c>
      <c r="G193" s="30" t="s">
        <v>394</v>
      </c>
      <c r="H193" s="4" t="s">
        <v>338</v>
      </c>
      <c r="I193" s="29">
        <v>0</v>
      </c>
      <c r="J193" s="73">
        <v>236.83</v>
      </c>
      <c r="K193" s="67">
        <v>236.83</v>
      </c>
      <c r="L193" s="67">
        <v>236.83</v>
      </c>
      <c r="M193" s="67">
        <v>236.83</v>
      </c>
      <c r="N193" s="67">
        <v>236.83</v>
      </c>
      <c r="O193" s="67">
        <v>236.83</v>
      </c>
      <c r="P193" s="67">
        <v>236.83</v>
      </c>
      <c r="Q193" s="67">
        <v>236.83</v>
      </c>
      <c r="R193" s="67">
        <v>236.83</v>
      </c>
      <c r="S193" s="67">
        <v>236.83</v>
      </c>
      <c r="T193" s="67">
        <v>236.83</v>
      </c>
      <c r="U193" s="67">
        <v>236.83</v>
      </c>
      <c r="V193" s="67">
        <v>236.83</v>
      </c>
      <c r="W193" s="67">
        <v>236.83</v>
      </c>
      <c r="X193" s="67">
        <v>236.83</v>
      </c>
      <c r="Y193" s="67">
        <v>236.83</v>
      </c>
      <c r="Z193" s="67">
        <v>236.83</v>
      </c>
      <c r="AA193" s="67">
        <v>236.83</v>
      </c>
      <c r="AB193" s="67">
        <v>236.83</v>
      </c>
      <c r="AC193" s="67">
        <v>236.83</v>
      </c>
      <c r="AD193" s="67">
        <v>236.83</v>
      </c>
      <c r="AE193" s="67">
        <v>236.83</v>
      </c>
      <c r="AF193" s="67">
        <v>236.83</v>
      </c>
      <c r="AG193" s="67">
        <v>236.83</v>
      </c>
      <c r="AH193" s="67">
        <v>236.83</v>
      </c>
      <c r="AI193" s="67">
        <v>236.83</v>
      </c>
      <c r="AJ193" s="67">
        <v>236.83</v>
      </c>
      <c r="AK193" s="67">
        <v>236.83</v>
      </c>
      <c r="AL193" s="67">
        <v>236.83</v>
      </c>
      <c r="AM193" s="67">
        <v>236.83</v>
      </c>
      <c r="AN193" s="67">
        <v>236.83</v>
      </c>
      <c r="AO193" s="67">
        <v>236.83</v>
      </c>
      <c r="AP193" s="67">
        <v>236.83</v>
      </c>
    </row>
    <row r="194" spans="1:42" x14ac:dyDescent="0.3">
      <c r="A194" s="4">
        <v>39</v>
      </c>
      <c r="B194" s="4" t="s">
        <v>294</v>
      </c>
      <c r="C194" s="4" t="s">
        <v>295</v>
      </c>
      <c r="D194" s="4">
        <v>3</v>
      </c>
      <c r="E194" s="29" t="s">
        <v>339</v>
      </c>
      <c r="F194" s="7" t="s">
        <v>395</v>
      </c>
      <c r="G194" s="30" t="s">
        <v>396</v>
      </c>
      <c r="H194" s="4" t="s">
        <v>338</v>
      </c>
      <c r="I194" s="29">
        <v>0</v>
      </c>
      <c r="J194" s="73">
        <v>354134.82</v>
      </c>
      <c r="K194" s="67">
        <v>341740.10129999998</v>
      </c>
      <c r="L194" s="67">
        <v>329779.19775449997</v>
      </c>
      <c r="M194" s="67">
        <v>318236.92583309248</v>
      </c>
      <c r="N194" s="67">
        <v>307098.6334289342</v>
      </c>
      <c r="O194" s="67">
        <v>296350.18125892151</v>
      </c>
      <c r="P194" s="67">
        <v>285977.92491485924</v>
      </c>
      <c r="Q194" s="67">
        <v>275968.69754283916</v>
      </c>
      <c r="R194" s="67">
        <v>266309.79312883975</v>
      </c>
      <c r="S194" s="67">
        <v>255524.24650712174</v>
      </c>
      <c r="T194" s="67">
        <v>243770.13116779417</v>
      </c>
      <c r="U194" s="67">
        <v>231215.9694126528</v>
      </c>
      <c r="V194" s="67">
        <v>218036.65915613165</v>
      </c>
      <c r="W194" s="67">
        <v>204409.36795887345</v>
      </c>
      <c r="X194" s="67">
        <v>191633.78246144392</v>
      </c>
      <c r="Y194" s="67">
        <v>179656.6710576037</v>
      </c>
      <c r="Z194" s="67">
        <v>168428.12911650352</v>
      </c>
      <c r="AA194" s="67">
        <v>157901.37104672208</v>
      </c>
      <c r="AB194" s="67">
        <v>148032.53535630199</v>
      </c>
      <c r="AC194" s="67">
        <v>138780.50189653315</v>
      </c>
      <c r="AD194" s="67">
        <v>127331.1104900692</v>
      </c>
      <c r="AE194" s="67">
        <v>114279.67166483714</v>
      </c>
      <c r="AF194" s="67">
        <v>100280.4118858946</v>
      </c>
      <c r="AG194" s="67">
        <v>87996.061429872527</v>
      </c>
      <c r="AH194" s="67">
        <v>77216.543904713151</v>
      </c>
      <c r="AI194" s="67">
        <v>67757.517276385799</v>
      </c>
      <c r="AJ194" s="67">
        <v>59457.221410028549</v>
      </c>
      <c r="AK194" s="67">
        <v>49200.850716798632</v>
      </c>
      <c r="AL194" s="67">
        <v>38253.661432310939</v>
      </c>
      <c r="AM194" s="67">
        <v>27829.538692006208</v>
      </c>
      <c r="AN194" s="67">
        <v>18854.512463834206</v>
      </c>
      <c r="AO194" s="67">
        <v>11831.206571055964</v>
      </c>
      <c r="AP194" s="67">
        <v>6832.5217947848178</v>
      </c>
    </row>
    <row r="195" spans="1:42" x14ac:dyDescent="0.3">
      <c r="A195" s="4">
        <v>39</v>
      </c>
      <c r="B195" s="4" t="s">
        <v>294</v>
      </c>
      <c r="C195" s="4" t="s">
        <v>295</v>
      </c>
      <c r="D195" s="4">
        <v>4</v>
      </c>
      <c r="E195" s="29" t="s">
        <v>340</v>
      </c>
      <c r="F195" s="7" t="s">
        <v>354</v>
      </c>
      <c r="G195" s="30"/>
      <c r="H195" s="4" t="s">
        <v>334</v>
      </c>
      <c r="I195" s="29">
        <v>0</v>
      </c>
      <c r="J195" s="73" t="s">
        <v>354</v>
      </c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</row>
    <row r="196" spans="1:42" x14ac:dyDescent="0.3">
      <c r="A196" s="4">
        <v>39</v>
      </c>
      <c r="B196" s="4" t="s">
        <v>294</v>
      </c>
      <c r="C196" s="4" t="s">
        <v>295</v>
      </c>
      <c r="D196" s="4">
        <v>5</v>
      </c>
      <c r="E196" s="29" t="s">
        <v>343</v>
      </c>
      <c r="F196" s="7" t="s">
        <v>354</v>
      </c>
      <c r="G196" s="30"/>
      <c r="H196" s="4" t="s">
        <v>334</v>
      </c>
      <c r="I196" s="29">
        <v>0</v>
      </c>
      <c r="J196" s="73" t="s">
        <v>354</v>
      </c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</row>
    <row r="197" spans="1:42" x14ac:dyDescent="0.3">
      <c r="A197" s="32">
        <v>40</v>
      </c>
      <c r="B197" s="32" t="s">
        <v>296</v>
      </c>
      <c r="C197" s="32" t="s">
        <v>297</v>
      </c>
      <c r="D197" s="32">
        <v>1</v>
      </c>
      <c r="E197" s="33" t="s">
        <v>333</v>
      </c>
      <c r="F197" s="13" t="s">
        <v>392</v>
      </c>
      <c r="G197" s="34" t="s">
        <v>393</v>
      </c>
      <c r="H197" s="32" t="s">
        <v>350</v>
      </c>
      <c r="I197" s="33">
        <v>0</v>
      </c>
      <c r="J197" s="74">
        <v>17466.62</v>
      </c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</row>
    <row r="198" spans="1:42" x14ac:dyDescent="0.3">
      <c r="A198" s="32">
        <v>40</v>
      </c>
      <c r="B198" s="32" t="s">
        <v>296</v>
      </c>
      <c r="C198" s="32" t="s">
        <v>297</v>
      </c>
      <c r="D198" s="32">
        <v>2</v>
      </c>
      <c r="E198" s="33" t="s">
        <v>335</v>
      </c>
      <c r="F198" s="13" t="s">
        <v>394</v>
      </c>
      <c r="G198" s="34" t="s">
        <v>394</v>
      </c>
      <c r="H198" s="32" t="s">
        <v>338</v>
      </c>
      <c r="I198" s="33">
        <v>0</v>
      </c>
      <c r="J198" s="74">
        <v>236.83</v>
      </c>
      <c r="K198" s="67">
        <v>236.83</v>
      </c>
      <c r="L198" s="67">
        <v>236.83</v>
      </c>
      <c r="M198" s="67">
        <v>236.83</v>
      </c>
      <c r="N198" s="67">
        <v>236.83</v>
      </c>
      <c r="O198" s="67">
        <v>236.83</v>
      </c>
      <c r="P198" s="67">
        <v>236.83</v>
      </c>
      <c r="Q198" s="67">
        <v>236.83</v>
      </c>
      <c r="R198" s="67">
        <v>236.83</v>
      </c>
      <c r="S198" s="67">
        <v>236.83</v>
      </c>
      <c r="T198" s="67">
        <v>236.83</v>
      </c>
      <c r="U198" s="67">
        <v>236.83</v>
      </c>
      <c r="V198" s="67">
        <v>236.83</v>
      </c>
      <c r="W198" s="67">
        <v>236.83</v>
      </c>
      <c r="X198" s="67">
        <v>236.83</v>
      </c>
      <c r="Y198" s="67">
        <v>236.83</v>
      </c>
      <c r="Z198" s="67">
        <v>236.83</v>
      </c>
      <c r="AA198" s="67">
        <v>236.83</v>
      </c>
      <c r="AB198" s="67">
        <v>236.83</v>
      </c>
      <c r="AC198" s="67">
        <v>236.83</v>
      </c>
      <c r="AD198" s="67">
        <v>236.83</v>
      </c>
      <c r="AE198" s="67">
        <v>236.83</v>
      </c>
      <c r="AF198" s="67">
        <v>236.83</v>
      </c>
      <c r="AG198" s="67">
        <v>236.83</v>
      </c>
      <c r="AH198" s="67">
        <v>236.83</v>
      </c>
      <c r="AI198" s="67">
        <v>236.83</v>
      </c>
      <c r="AJ198" s="67">
        <v>236.83</v>
      </c>
      <c r="AK198" s="67">
        <v>236.83</v>
      </c>
      <c r="AL198" s="67">
        <v>236.83</v>
      </c>
      <c r="AM198" s="67">
        <v>236.83</v>
      </c>
      <c r="AN198" s="67">
        <v>236.83</v>
      </c>
      <c r="AO198" s="67">
        <v>236.83</v>
      </c>
      <c r="AP198" s="67">
        <v>236.83</v>
      </c>
    </row>
    <row r="199" spans="1:42" x14ac:dyDescent="0.3">
      <c r="A199" s="32">
        <v>40</v>
      </c>
      <c r="B199" s="32" t="s">
        <v>296</v>
      </c>
      <c r="C199" s="38" t="s">
        <v>297</v>
      </c>
      <c r="D199" s="38">
        <v>3</v>
      </c>
      <c r="E199" s="39" t="s">
        <v>339</v>
      </c>
      <c r="F199" s="18" t="s">
        <v>395</v>
      </c>
      <c r="G199" s="34" t="s">
        <v>396</v>
      </c>
      <c r="H199" s="32" t="s">
        <v>338</v>
      </c>
      <c r="I199" s="33">
        <v>0</v>
      </c>
      <c r="J199" s="74">
        <v>18160.760000000002</v>
      </c>
      <c r="K199" s="67">
        <v>17525.133400000002</v>
      </c>
      <c r="L199" s="67">
        <v>16911.753731000001</v>
      </c>
      <c r="M199" s="67">
        <v>16319.842350415</v>
      </c>
      <c r="N199" s="67">
        <v>15748.647868150474</v>
      </c>
      <c r="O199" s="67">
        <v>15197.445192765206</v>
      </c>
      <c r="P199" s="67">
        <v>14665.534611018424</v>
      </c>
      <c r="Q199" s="67">
        <v>14152.240899632778</v>
      </c>
      <c r="R199" s="67">
        <v>13656.912468145631</v>
      </c>
      <c r="S199" s="67">
        <v>13103.807513185733</v>
      </c>
      <c r="T199" s="67">
        <v>12501.03236757919</v>
      </c>
      <c r="U199" s="67">
        <v>11857.229200648862</v>
      </c>
      <c r="V199" s="67">
        <v>11181.367136211878</v>
      </c>
      <c r="W199" s="67">
        <v>10482.531690198639</v>
      </c>
      <c r="X199" s="67">
        <v>9827.3734595612259</v>
      </c>
      <c r="Y199" s="67">
        <v>9213.1626183386506</v>
      </c>
      <c r="Z199" s="67">
        <v>8637.3399546924866</v>
      </c>
      <c r="AA199" s="67">
        <v>8097.5062075242076</v>
      </c>
      <c r="AB199" s="67">
        <v>7591.4120695539468</v>
      </c>
      <c r="AC199" s="67">
        <v>7116.948815206827</v>
      </c>
      <c r="AD199" s="67">
        <v>6529.8005379522656</v>
      </c>
      <c r="AE199" s="67">
        <v>5860.4959828121591</v>
      </c>
      <c r="AF199" s="67">
        <v>5142.5852249176705</v>
      </c>
      <c r="AG199" s="67">
        <v>4512.6185348652571</v>
      </c>
      <c r="AH199" s="67">
        <v>3959.8227643442638</v>
      </c>
      <c r="AI199" s="67">
        <v>3474.744475712092</v>
      </c>
      <c r="AJ199" s="67">
        <v>3049.0882774373613</v>
      </c>
      <c r="AK199" s="67">
        <v>2523.120549579417</v>
      </c>
      <c r="AL199" s="67">
        <v>1961.726227297997</v>
      </c>
      <c r="AM199" s="67">
        <v>1427.1558303592928</v>
      </c>
      <c r="AN199" s="67">
        <v>966.89807506842089</v>
      </c>
      <c r="AO199" s="67">
        <v>606.72854210543403</v>
      </c>
      <c r="AP199" s="67">
        <v>350.38573306588808</v>
      </c>
    </row>
    <row r="200" spans="1:42" x14ac:dyDescent="0.3">
      <c r="A200" s="32">
        <v>40</v>
      </c>
      <c r="B200" s="32" t="s">
        <v>296</v>
      </c>
      <c r="C200" s="38" t="s">
        <v>297</v>
      </c>
      <c r="D200" s="38">
        <v>4</v>
      </c>
      <c r="E200" s="39" t="s">
        <v>340</v>
      </c>
      <c r="F200" s="18" t="s">
        <v>354</v>
      </c>
      <c r="G200" s="34"/>
      <c r="H200" s="32" t="s">
        <v>334</v>
      </c>
      <c r="I200" s="33">
        <v>0</v>
      </c>
      <c r="J200" s="74" t="s">
        <v>354</v>
      </c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</row>
    <row r="201" spans="1:42" x14ac:dyDescent="0.3">
      <c r="A201" s="32">
        <v>40</v>
      </c>
      <c r="B201" s="32" t="s">
        <v>296</v>
      </c>
      <c r="C201" s="38" t="s">
        <v>297</v>
      </c>
      <c r="D201" s="38">
        <v>5</v>
      </c>
      <c r="E201" s="39" t="s">
        <v>343</v>
      </c>
      <c r="F201" s="18" t="s">
        <v>354</v>
      </c>
      <c r="G201" s="34"/>
      <c r="H201" s="32" t="s">
        <v>334</v>
      </c>
      <c r="I201" s="33">
        <v>0</v>
      </c>
      <c r="J201" s="74" t="s">
        <v>354</v>
      </c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</row>
    <row r="202" spans="1:42" x14ac:dyDescent="0.3">
      <c r="A202" s="4">
        <v>41</v>
      </c>
      <c r="B202" s="4" t="s">
        <v>298</v>
      </c>
      <c r="C202" s="40" t="s">
        <v>299</v>
      </c>
      <c r="D202" s="40">
        <v>1</v>
      </c>
      <c r="E202" s="25" t="s">
        <v>333</v>
      </c>
      <c r="F202" s="23" t="s">
        <v>405</v>
      </c>
      <c r="G202" s="30" t="s">
        <v>393</v>
      </c>
      <c r="H202" s="4" t="s">
        <v>350</v>
      </c>
      <c r="I202" s="29">
        <v>0</v>
      </c>
      <c r="J202" s="73">
        <v>1.4</v>
      </c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</row>
    <row r="203" spans="1:42" x14ac:dyDescent="0.3">
      <c r="A203" s="4">
        <v>41</v>
      </c>
      <c r="B203" s="4" t="s">
        <v>298</v>
      </c>
      <c r="C203" s="40" t="s">
        <v>299</v>
      </c>
      <c r="D203" s="40">
        <v>2</v>
      </c>
      <c r="E203" s="25" t="s">
        <v>335</v>
      </c>
      <c r="F203" s="23" t="s">
        <v>394</v>
      </c>
      <c r="G203" s="30" t="s">
        <v>394</v>
      </c>
      <c r="H203" s="4" t="s">
        <v>338</v>
      </c>
      <c r="I203" s="29">
        <v>0</v>
      </c>
      <c r="J203" s="73">
        <v>236.83</v>
      </c>
      <c r="K203" s="67">
        <v>236.83</v>
      </c>
      <c r="L203" s="67">
        <v>236.83</v>
      </c>
      <c r="M203" s="67">
        <v>236.83</v>
      </c>
      <c r="N203" s="67">
        <v>236.83</v>
      </c>
      <c r="O203" s="67">
        <v>236.83</v>
      </c>
      <c r="P203" s="67">
        <v>236.83</v>
      </c>
      <c r="Q203" s="67">
        <v>236.83</v>
      </c>
      <c r="R203" s="67">
        <v>236.83</v>
      </c>
      <c r="S203" s="67">
        <v>236.83</v>
      </c>
      <c r="T203" s="67">
        <v>236.83</v>
      </c>
      <c r="U203" s="67">
        <v>236.83</v>
      </c>
      <c r="V203" s="67">
        <v>236.83</v>
      </c>
      <c r="W203" s="67">
        <v>236.83</v>
      </c>
      <c r="X203" s="67">
        <v>236.83</v>
      </c>
      <c r="Y203" s="67">
        <v>236.83</v>
      </c>
      <c r="Z203" s="67">
        <v>236.83</v>
      </c>
      <c r="AA203" s="67">
        <v>236.83</v>
      </c>
      <c r="AB203" s="67">
        <v>236.83</v>
      </c>
      <c r="AC203" s="67">
        <v>236.83</v>
      </c>
      <c r="AD203" s="67">
        <v>236.83</v>
      </c>
      <c r="AE203" s="67">
        <v>236.83</v>
      </c>
      <c r="AF203" s="67">
        <v>236.83</v>
      </c>
      <c r="AG203" s="67">
        <v>236.83</v>
      </c>
      <c r="AH203" s="67">
        <v>236.83</v>
      </c>
      <c r="AI203" s="67">
        <v>236.83</v>
      </c>
      <c r="AJ203" s="67">
        <v>236.83</v>
      </c>
      <c r="AK203" s="67">
        <v>236.83</v>
      </c>
      <c r="AL203" s="67">
        <v>236.83</v>
      </c>
      <c r="AM203" s="67">
        <v>236.83</v>
      </c>
      <c r="AN203" s="67">
        <v>236.83</v>
      </c>
      <c r="AO203" s="67">
        <v>236.83</v>
      </c>
      <c r="AP203" s="67">
        <v>236.83</v>
      </c>
    </row>
    <row r="204" spans="1:42" x14ac:dyDescent="0.3">
      <c r="A204" s="4">
        <v>41</v>
      </c>
      <c r="B204" s="4" t="s">
        <v>298</v>
      </c>
      <c r="C204" s="40" t="s">
        <v>299</v>
      </c>
      <c r="D204" s="40">
        <v>3</v>
      </c>
      <c r="E204" s="25" t="s">
        <v>339</v>
      </c>
      <c r="F204" s="23" t="s">
        <v>395</v>
      </c>
      <c r="G204" s="30" t="s">
        <v>396</v>
      </c>
      <c r="H204" s="4" t="s">
        <v>338</v>
      </c>
      <c r="I204" s="29">
        <v>0</v>
      </c>
      <c r="J204" s="73">
        <v>77183.23000000001</v>
      </c>
      <c r="K204" s="67">
        <v>74481.816950000008</v>
      </c>
      <c r="L204" s="67">
        <v>71874.953356750004</v>
      </c>
      <c r="M204" s="67">
        <v>69359.329989263759</v>
      </c>
      <c r="N204" s="67">
        <v>66931.75343963952</v>
      </c>
      <c r="O204" s="67">
        <v>64589.142069252135</v>
      </c>
      <c r="P204" s="67">
        <v>62328.52209682831</v>
      </c>
      <c r="Q204" s="67">
        <v>60147.023823439318</v>
      </c>
      <c r="R204" s="67">
        <v>58041.877989618937</v>
      </c>
      <c r="S204" s="67">
        <v>55691.181931039369</v>
      </c>
      <c r="T204" s="67">
        <v>53129.387562211559</v>
      </c>
      <c r="U204" s="67">
        <v>50393.224102757667</v>
      </c>
      <c r="V204" s="67">
        <v>47520.810328900487</v>
      </c>
      <c r="W204" s="67">
        <v>44550.759683344215</v>
      </c>
      <c r="X204" s="67">
        <v>41766.337203135212</v>
      </c>
      <c r="Y204" s="67">
        <v>39155.941127939273</v>
      </c>
      <c r="Z204" s="67">
        <v>36708.694807443077</v>
      </c>
      <c r="AA204" s="67">
        <v>34414.401381977892</v>
      </c>
      <c r="AB204" s="67">
        <v>32263.501295604281</v>
      </c>
      <c r="AC204" s="67">
        <v>30247.032464629021</v>
      </c>
      <c r="AD204" s="67">
        <v>27751.652286297132</v>
      </c>
      <c r="AE204" s="67">
        <v>24907.107926951681</v>
      </c>
      <c r="AF204" s="67">
        <v>21855.987205900106</v>
      </c>
      <c r="AG204" s="67">
        <v>19178.628773177348</v>
      </c>
      <c r="AH204" s="67">
        <v>16829.246748463127</v>
      </c>
      <c r="AI204" s="67">
        <v>14767.664021776396</v>
      </c>
      <c r="AJ204" s="67">
        <v>12958.625179108791</v>
      </c>
      <c r="AK204" s="67">
        <v>10723.262335712527</v>
      </c>
      <c r="AL204" s="67">
        <v>8337.3364660164898</v>
      </c>
      <c r="AM204" s="67">
        <v>6065.4122790269967</v>
      </c>
      <c r="AN204" s="67">
        <v>4109.3168190407905</v>
      </c>
      <c r="AO204" s="67">
        <v>2578.5963039480957</v>
      </c>
      <c r="AP204" s="67">
        <v>1489.1393655300251</v>
      </c>
    </row>
    <row r="205" spans="1:42" x14ac:dyDescent="0.3">
      <c r="A205" s="4">
        <v>41</v>
      </c>
      <c r="B205" s="4" t="s">
        <v>298</v>
      </c>
      <c r="C205" s="40" t="s">
        <v>299</v>
      </c>
      <c r="D205" s="40">
        <v>4</v>
      </c>
      <c r="E205" s="25" t="s">
        <v>340</v>
      </c>
      <c r="F205" s="23" t="s">
        <v>354</v>
      </c>
      <c r="G205" s="30"/>
      <c r="H205" s="4" t="s">
        <v>334</v>
      </c>
      <c r="I205" s="29">
        <v>0</v>
      </c>
      <c r="J205" s="73" t="s">
        <v>354</v>
      </c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</row>
    <row r="206" spans="1:42" x14ac:dyDescent="0.3">
      <c r="A206" s="4">
        <v>41</v>
      </c>
      <c r="B206" s="4" t="s">
        <v>298</v>
      </c>
      <c r="C206" s="40" t="s">
        <v>299</v>
      </c>
      <c r="D206" s="40">
        <v>5</v>
      </c>
      <c r="E206" s="25" t="s">
        <v>343</v>
      </c>
      <c r="F206" s="23" t="s">
        <v>354</v>
      </c>
      <c r="G206" s="30"/>
      <c r="H206" s="4" t="s">
        <v>334</v>
      </c>
      <c r="I206" s="29">
        <v>0</v>
      </c>
      <c r="J206" s="73" t="s">
        <v>354</v>
      </c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</row>
    <row r="207" spans="1:42" x14ac:dyDescent="0.3">
      <c r="A207" s="32">
        <v>42</v>
      </c>
      <c r="B207" s="32" t="s">
        <v>300</v>
      </c>
      <c r="C207" s="38" t="s">
        <v>301</v>
      </c>
      <c r="D207" s="38">
        <v>1</v>
      </c>
      <c r="E207" s="39" t="s">
        <v>333</v>
      </c>
      <c r="F207" s="18" t="s">
        <v>405</v>
      </c>
      <c r="G207" s="34" t="s">
        <v>393</v>
      </c>
      <c r="H207" s="32" t="s">
        <v>398</v>
      </c>
      <c r="I207" s="33">
        <v>0</v>
      </c>
      <c r="J207" s="74">
        <v>2.36</v>
      </c>
      <c r="K207" s="67">
        <v>0.95544531315097936</v>
      </c>
      <c r="L207" s="67">
        <v>0.91089062630195894</v>
      </c>
      <c r="M207" s="67">
        <v>0.8663359394529383</v>
      </c>
      <c r="N207" s="67">
        <v>0.82178125260391788</v>
      </c>
      <c r="O207" s="67">
        <v>0.80693104520503123</v>
      </c>
      <c r="P207" s="67">
        <v>0.79207880547996434</v>
      </c>
      <c r="Q207" s="67">
        <v>0.77227785150605521</v>
      </c>
      <c r="R207" s="67">
        <v>0.75247486520596607</v>
      </c>
      <c r="S207" s="67">
        <v>0.73267187890587682</v>
      </c>
      <c r="T207" s="67">
        <v>0.7128709249319678</v>
      </c>
      <c r="U207" s="67">
        <v>0.70296943178192328</v>
      </c>
      <c r="V207" s="67">
        <v>0.69306793863187854</v>
      </c>
      <c r="W207" s="67">
        <v>0.69140549581645649</v>
      </c>
      <c r="X207" s="67">
        <v>0.68974305300103445</v>
      </c>
      <c r="Y207" s="67">
        <v>0.68807857785943216</v>
      </c>
      <c r="Z207" s="67">
        <v>0.68641613504400989</v>
      </c>
      <c r="AA207" s="67">
        <v>0.68475165990240772</v>
      </c>
      <c r="AB207" s="67">
        <v>0.68308921708698556</v>
      </c>
      <c r="AC207" s="67">
        <v>0.68142474194538316</v>
      </c>
      <c r="AD207" s="67">
        <v>0.67976229912996111</v>
      </c>
      <c r="AE207" s="67">
        <v>0.67809782398835883</v>
      </c>
      <c r="AF207" s="67">
        <v>0.67643538117293667</v>
      </c>
      <c r="AG207" s="67">
        <v>0.67477090603133438</v>
      </c>
      <c r="AH207" s="67">
        <v>0.67310846321591233</v>
      </c>
      <c r="AI207" s="67">
        <v>0.67144602040049017</v>
      </c>
      <c r="AJ207" s="67">
        <v>0.66978154525888778</v>
      </c>
      <c r="AK207" s="67">
        <v>0.66811910244346573</v>
      </c>
      <c r="AL207" s="67">
        <v>0.66645462730186344</v>
      </c>
      <c r="AM207" s="67">
        <v>0.66479218448644128</v>
      </c>
      <c r="AN207" s="67">
        <v>0.663127709344839</v>
      </c>
      <c r="AO207" s="67">
        <v>0.66146526652941684</v>
      </c>
      <c r="AP207" s="67">
        <v>0.65980079138781456</v>
      </c>
    </row>
    <row r="208" spans="1:42" x14ac:dyDescent="0.3">
      <c r="A208" s="32">
        <v>42</v>
      </c>
      <c r="B208" s="32" t="s">
        <v>300</v>
      </c>
      <c r="C208" s="38" t="s">
        <v>301</v>
      </c>
      <c r="D208" s="38">
        <v>2</v>
      </c>
      <c r="E208" s="39" t="s">
        <v>335</v>
      </c>
      <c r="F208" s="18" t="s">
        <v>394</v>
      </c>
      <c r="G208" s="34" t="s">
        <v>394</v>
      </c>
      <c r="H208" s="32" t="s">
        <v>338</v>
      </c>
      <c r="I208" s="33">
        <v>0</v>
      </c>
      <c r="J208" s="74">
        <v>78.153899999999993</v>
      </c>
      <c r="K208" s="67">
        <v>78.153899999999993</v>
      </c>
      <c r="L208" s="67">
        <v>78.153899999999993</v>
      </c>
      <c r="M208" s="67">
        <v>78.153899999999993</v>
      </c>
      <c r="N208" s="67">
        <v>78.153899999999993</v>
      </c>
      <c r="O208" s="67">
        <v>78.153899999999993</v>
      </c>
      <c r="P208" s="67">
        <v>78.153899999999993</v>
      </c>
      <c r="Q208" s="67">
        <v>78.153899999999993</v>
      </c>
      <c r="R208" s="67">
        <v>78.153899999999993</v>
      </c>
      <c r="S208" s="67">
        <v>78.153899999999993</v>
      </c>
      <c r="T208" s="67">
        <v>78.153899999999993</v>
      </c>
      <c r="U208" s="67">
        <v>78.153899999999993</v>
      </c>
      <c r="V208" s="67">
        <v>78.153899999999993</v>
      </c>
      <c r="W208" s="67">
        <v>78.153899999999993</v>
      </c>
      <c r="X208" s="67">
        <v>78.153899999999993</v>
      </c>
      <c r="Y208" s="67">
        <v>78.153899999999993</v>
      </c>
      <c r="Z208" s="67">
        <v>78.153899999999993</v>
      </c>
      <c r="AA208" s="67">
        <v>78.153899999999993</v>
      </c>
      <c r="AB208" s="67">
        <v>78.153899999999993</v>
      </c>
      <c r="AC208" s="67">
        <v>78.153899999999993</v>
      </c>
      <c r="AD208" s="67">
        <v>78.153899999999993</v>
      </c>
      <c r="AE208" s="67">
        <v>78.153899999999993</v>
      </c>
      <c r="AF208" s="67">
        <v>78.153899999999993</v>
      </c>
      <c r="AG208" s="67">
        <v>78.153899999999993</v>
      </c>
      <c r="AH208" s="67">
        <v>78.153899999999993</v>
      </c>
      <c r="AI208" s="67">
        <v>78.153899999999993</v>
      </c>
      <c r="AJ208" s="67">
        <v>78.153899999999993</v>
      </c>
      <c r="AK208" s="67">
        <v>78.153899999999993</v>
      </c>
      <c r="AL208" s="67">
        <v>78.153899999999993</v>
      </c>
      <c r="AM208" s="67">
        <v>78.153899999999993</v>
      </c>
      <c r="AN208" s="67">
        <v>78.153899999999993</v>
      </c>
      <c r="AO208" s="67">
        <v>78.153899999999993</v>
      </c>
      <c r="AP208" s="67">
        <v>78.153899999999993</v>
      </c>
    </row>
    <row r="209" spans="1:42" x14ac:dyDescent="0.3">
      <c r="A209" s="32">
        <v>42</v>
      </c>
      <c r="B209" s="32" t="s">
        <v>300</v>
      </c>
      <c r="C209" s="38" t="s">
        <v>301</v>
      </c>
      <c r="D209" s="38">
        <v>3</v>
      </c>
      <c r="E209" s="39" t="s">
        <v>339</v>
      </c>
      <c r="F209" s="18" t="s">
        <v>395</v>
      </c>
      <c r="G209" s="34" t="s">
        <v>396</v>
      </c>
      <c r="H209" s="32" t="s">
        <v>334</v>
      </c>
      <c r="I209" s="33">
        <v>0</v>
      </c>
      <c r="J209" s="74" t="s">
        <v>354</v>
      </c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</row>
    <row r="210" spans="1:42" x14ac:dyDescent="0.3">
      <c r="A210" s="32">
        <v>42</v>
      </c>
      <c r="B210" s="32" t="s">
        <v>300</v>
      </c>
      <c r="C210" s="38" t="s">
        <v>301</v>
      </c>
      <c r="D210" s="38">
        <v>4</v>
      </c>
      <c r="E210" s="39" t="s">
        <v>340</v>
      </c>
      <c r="F210" s="18" t="s">
        <v>354</v>
      </c>
      <c r="G210" s="34"/>
      <c r="H210" s="32" t="s">
        <v>334</v>
      </c>
      <c r="I210" s="33">
        <v>0</v>
      </c>
      <c r="J210" s="74" t="s">
        <v>354</v>
      </c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</row>
    <row r="211" spans="1:42" x14ac:dyDescent="0.3">
      <c r="A211" s="32">
        <v>42</v>
      </c>
      <c r="B211" s="32" t="s">
        <v>300</v>
      </c>
      <c r="C211" s="38" t="s">
        <v>301</v>
      </c>
      <c r="D211" s="38">
        <v>5</v>
      </c>
      <c r="E211" s="39" t="s">
        <v>343</v>
      </c>
      <c r="F211" s="18" t="s">
        <v>354</v>
      </c>
      <c r="G211" s="34"/>
      <c r="H211" s="32" t="s">
        <v>334</v>
      </c>
      <c r="I211" s="33">
        <v>0</v>
      </c>
      <c r="J211" s="74" t="s">
        <v>354</v>
      </c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</row>
    <row r="212" spans="1:42" x14ac:dyDescent="0.3">
      <c r="A212" s="4">
        <v>43</v>
      </c>
      <c r="B212" s="4" t="s">
        <v>302</v>
      </c>
      <c r="C212" s="40" t="s">
        <v>303</v>
      </c>
      <c r="D212" s="40">
        <v>1</v>
      </c>
      <c r="E212" s="25" t="s">
        <v>333</v>
      </c>
      <c r="F212" s="23" t="s">
        <v>405</v>
      </c>
      <c r="G212" s="30" t="s">
        <v>393</v>
      </c>
      <c r="H212" s="4" t="s">
        <v>350</v>
      </c>
      <c r="I212" s="29">
        <v>0</v>
      </c>
      <c r="J212" s="73">
        <v>17466.62</v>
      </c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7"/>
      <c r="AM212" s="67"/>
      <c r="AN212" s="67"/>
      <c r="AO212" s="67"/>
      <c r="AP212" s="67"/>
    </row>
    <row r="213" spans="1:42" x14ac:dyDescent="0.3">
      <c r="A213" s="4">
        <v>43</v>
      </c>
      <c r="B213" s="4" t="s">
        <v>302</v>
      </c>
      <c r="C213" s="40" t="s">
        <v>303</v>
      </c>
      <c r="D213" s="40">
        <v>2</v>
      </c>
      <c r="E213" s="25" t="s">
        <v>335</v>
      </c>
      <c r="F213" s="23" t="s">
        <v>394</v>
      </c>
      <c r="G213" s="30" t="s">
        <v>394</v>
      </c>
      <c r="H213" s="4" t="s">
        <v>338</v>
      </c>
      <c r="I213" s="29">
        <v>0</v>
      </c>
      <c r="J213" s="73">
        <v>236.83</v>
      </c>
      <c r="K213" s="67">
        <v>236.83</v>
      </c>
      <c r="L213" s="67">
        <v>236.83</v>
      </c>
      <c r="M213" s="67">
        <v>236.83</v>
      </c>
      <c r="N213" s="67">
        <v>236.83</v>
      </c>
      <c r="O213" s="67">
        <v>236.83</v>
      </c>
      <c r="P213" s="67">
        <v>236.83</v>
      </c>
      <c r="Q213" s="67">
        <v>236.83</v>
      </c>
      <c r="R213" s="67">
        <v>236.83</v>
      </c>
      <c r="S213" s="67">
        <v>236.83</v>
      </c>
      <c r="T213" s="67">
        <v>236.83</v>
      </c>
      <c r="U213" s="67">
        <v>236.83</v>
      </c>
      <c r="V213" s="67">
        <v>236.83</v>
      </c>
      <c r="W213" s="67">
        <v>236.83</v>
      </c>
      <c r="X213" s="67">
        <v>236.83</v>
      </c>
      <c r="Y213" s="67">
        <v>236.83</v>
      </c>
      <c r="Z213" s="67">
        <v>236.83</v>
      </c>
      <c r="AA213" s="67">
        <v>236.83</v>
      </c>
      <c r="AB213" s="67">
        <v>236.83</v>
      </c>
      <c r="AC213" s="67">
        <v>236.83</v>
      </c>
      <c r="AD213" s="67">
        <v>236.83</v>
      </c>
      <c r="AE213" s="67">
        <v>236.83</v>
      </c>
      <c r="AF213" s="67">
        <v>236.83</v>
      </c>
      <c r="AG213" s="67">
        <v>236.83</v>
      </c>
      <c r="AH213" s="67">
        <v>236.83</v>
      </c>
      <c r="AI213" s="67">
        <v>236.83</v>
      </c>
      <c r="AJ213" s="67">
        <v>236.83</v>
      </c>
      <c r="AK213" s="67">
        <v>236.83</v>
      </c>
      <c r="AL213" s="67">
        <v>236.83</v>
      </c>
      <c r="AM213" s="67">
        <v>236.83</v>
      </c>
      <c r="AN213" s="67">
        <v>236.83</v>
      </c>
      <c r="AO213" s="67">
        <v>236.83</v>
      </c>
      <c r="AP213" s="67">
        <v>236.83</v>
      </c>
    </row>
    <row r="214" spans="1:42" x14ac:dyDescent="0.3">
      <c r="A214" s="4">
        <v>43</v>
      </c>
      <c r="B214" s="4" t="s">
        <v>302</v>
      </c>
      <c r="C214" s="40" t="s">
        <v>303</v>
      </c>
      <c r="D214" s="40">
        <v>3</v>
      </c>
      <c r="E214" s="25" t="s">
        <v>339</v>
      </c>
      <c r="F214" s="23" t="s">
        <v>395</v>
      </c>
      <c r="G214" s="30" t="s">
        <v>396</v>
      </c>
      <c r="H214" s="4" t="s">
        <v>334</v>
      </c>
      <c r="I214" s="29">
        <v>0</v>
      </c>
      <c r="J214" s="73" t="s">
        <v>354</v>
      </c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67"/>
      <c r="AN214" s="67"/>
      <c r="AO214" s="67"/>
      <c r="AP214" s="67"/>
    </row>
    <row r="215" spans="1:42" x14ac:dyDescent="0.3">
      <c r="A215" s="4">
        <v>43</v>
      </c>
      <c r="B215" s="4" t="s">
        <v>302</v>
      </c>
      <c r="C215" s="40" t="s">
        <v>303</v>
      </c>
      <c r="D215" s="40">
        <v>4</v>
      </c>
      <c r="E215" s="25" t="s">
        <v>340</v>
      </c>
      <c r="F215" s="23" t="s">
        <v>354</v>
      </c>
      <c r="G215" s="30"/>
      <c r="H215" s="4" t="s">
        <v>334</v>
      </c>
      <c r="I215" s="29">
        <v>0</v>
      </c>
      <c r="J215" s="73" t="s">
        <v>354</v>
      </c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7"/>
      <c r="AM215" s="67"/>
      <c r="AN215" s="67"/>
      <c r="AO215" s="67"/>
      <c r="AP215" s="67"/>
    </row>
    <row r="216" spans="1:42" x14ac:dyDescent="0.3">
      <c r="A216" s="4">
        <v>43</v>
      </c>
      <c r="B216" s="4" t="s">
        <v>302</v>
      </c>
      <c r="C216" s="40" t="s">
        <v>303</v>
      </c>
      <c r="D216" s="40">
        <v>5</v>
      </c>
      <c r="E216" s="25" t="s">
        <v>343</v>
      </c>
      <c r="F216" s="23" t="s">
        <v>354</v>
      </c>
      <c r="G216" s="30"/>
      <c r="H216" s="4" t="s">
        <v>334</v>
      </c>
      <c r="I216" s="29">
        <v>0</v>
      </c>
      <c r="J216" s="73" t="s">
        <v>354</v>
      </c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7"/>
      <c r="AM216" s="67"/>
      <c r="AN216" s="67"/>
      <c r="AO216" s="67"/>
      <c r="AP216" s="67"/>
    </row>
    <row r="217" spans="1:42" x14ac:dyDescent="0.3">
      <c r="A217" s="32">
        <v>44</v>
      </c>
      <c r="B217" s="32" t="s">
        <v>304</v>
      </c>
      <c r="C217" s="32" t="s">
        <v>305</v>
      </c>
      <c r="D217" s="32">
        <v>1</v>
      </c>
      <c r="E217" s="33" t="s">
        <v>333</v>
      </c>
      <c r="F217" s="13" t="s">
        <v>405</v>
      </c>
      <c r="G217" s="34" t="s">
        <v>393</v>
      </c>
      <c r="H217" s="32" t="s">
        <v>350</v>
      </c>
      <c r="I217" s="33">
        <v>0</v>
      </c>
      <c r="J217" s="74">
        <v>2.19</v>
      </c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7"/>
      <c r="AM217" s="67"/>
      <c r="AN217" s="67"/>
      <c r="AO217" s="67"/>
      <c r="AP217" s="67"/>
    </row>
    <row r="218" spans="1:42" x14ac:dyDescent="0.3">
      <c r="A218" s="32">
        <v>44</v>
      </c>
      <c r="B218" s="32" t="s">
        <v>304</v>
      </c>
      <c r="C218" s="32" t="s">
        <v>305</v>
      </c>
      <c r="D218" s="32">
        <v>2</v>
      </c>
      <c r="E218" s="33" t="s">
        <v>335</v>
      </c>
      <c r="F218" s="13" t="s">
        <v>394</v>
      </c>
      <c r="G218" s="34" t="s">
        <v>394</v>
      </c>
      <c r="H218" s="32" t="s">
        <v>338</v>
      </c>
      <c r="I218" s="33">
        <v>0</v>
      </c>
      <c r="J218" s="74">
        <v>118.41500000000001</v>
      </c>
      <c r="K218" s="67">
        <v>118.41500000000001</v>
      </c>
      <c r="L218" s="67">
        <v>118.41500000000001</v>
      </c>
      <c r="M218" s="67">
        <v>118.41500000000001</v>
      </c>
      <c r="N218" s="67">
        <v>118.41500000000001</v>
      </c>
      <c r="O218" s="67">
        <v>118.41500000000001</v>
      </c>
      <c r="P218" s="67">
        <v>118.41500000000001</v>
      </c>
      <c r="Q218" s="67">
        <v>118.41500000000001</v>
      </c>
      <c r="R218" s="67">
        <v>118.41500000000001</v>
      </c>
      <c r="S218" s="67">
        <v>118.41500000000001</v>
      </c>
      <c r="T218" s="67">
        <v>118.41500000000001</v>
      </c>
      <c r="U218" s="67">
        <v>118.41500000000001</v>
      </c>
      <c r="V218" s="67">
        <v>118.41500000000001</v>
      </c>
      <c r="W218" s="67">
        <v>118.41500000000001</v>
      </c>
      <c r="X218" s="67">
        <v>118.41500000000001</v>
      </c>
      <c r="Y218" s="67">
        <v>118.41500000000001</v>
      </c>
      <c r="Z218" s="67">
        <v>118.41500000000001</v>
      </c>
      <c r="AA218" s="67">
        <v>118.41500000000001</v>
      </c>
      <c r="AB218" s="67">
        <v>118.41500000000001</v>
      </c>
      <c r="AC218" s="67">
        <v>118.41500000000001</v>
      </c>
      <c r="AD218" s="67">
        <v>118.41500000000001</v>
      </c>
      <c r="AE218" s="67">
        <v>118.41500000000001</v>
      </c>
      <c r="AF218" s="67">
        <v>118.41500000000001</v>
      </c>
      <c r="AG218" s="67">
        <v>118.41500000000001</v>
      </c>
      <c r="AH218" s="67">
        <v>118.41500000000001</v>
      </c>
      <c r="AI218" s="67">
        <v>118.41500000000001</v>
      </c>
      <c r="AJ218" s="67">
        <v>118.41500000000001</v>
      </c>
      <c r="AK218" s="67">
        <v>118.41500000000001</v>
      </c>
      <c r="AL218" s="67">
        <v>118.41500000000001</v>
      </c>
      <c r="AM218" s="67">
        <v>118.41500000000001</v>
      </c>
      <c r="AN218" s="67">
        <v>118.41500000000001</v>
      </c>
      <c r="AO218" s="67">
        <v>118.41500000000001</v>
      </c>
      <c r="AP218" s="67">
        <v>118.41500000000001</v>
      </c>
    </row>
    <row r="219" spans="1:42" x14ac:dyDescent="0.3">
      <c r="A219" s="32">
        <v>44</v>
      </c>
      <c r="B219" s="32" t="s">
        <v>304</v>
      </c>
      <c r="C219" s="32" t="s">
        <v>305</v>
      </c>
      <c r="D219" s="32">
        <v>3</v>
      </c>
      <c r="E219" s="33" t="s">
        <v>339</v>
      </c>
      <c r="F219" s="13" t="s">
        <v>395</v>
      </c>
      <c r="G219" s="34" t="s">
        <v>396</v>
      </c>
      <c r="H219" s="32" t="s">
        <v>334</v>
      </c>
      <c r="I219" s="33">
        <v>0</v>
      </c>
      <c r="J219" s="74" t="s">
        <v>354</v>
      </c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7"/>
      <c r="AM219" s="67"/>
      <c r="AN219" s="67"/>
      <c r="AO219" s="67"/>
      <c r="AP219" s="67"/>
    </row>
    <row r="220" spans="1:42" x14ac:dyDescent="0.3">
      <c r="A220" s="32">
        <v>44</v>
      </c>
      <c r="B220" s="32" t="s">
        <v>304</v>
      </c>
      <c r="C220" s="32" t="s">
        <v>305</v>
      </c>
      <c r="D220" s="32">
        <v>4</v>
      </c>
      <c r="E220" s="33" t="s">
        <v>340</v>
      </c>
      <c r="F220" s="13" t="s">
        <v>354</v>
      </c>
      <c r="G220" s="34"/>
      <c r="H220" s="32" t="s">
        <v>334</v>
      </c>
      <c r="I220" s="33">
        <v>0</v>
      </c>
      <c r="J220" s="74" t="s">
        <v>354</v>
      </c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7"/>
      <c r="AM220" s="67"/>
      <c r="AN220" s="67"/>
      <c r="AO220" s="67"/>
      <c r="AP220" s="67"/>
    </row>
    <row r="221" spans="1:42" x14ac:dyDescent="0.3">
      <c r="A221" s="32">
        <v>44</v>
      </c>
      <c r="B221" s="32" t="s">
        <v>304</v>
      </c>
      <c r="C221" s="32" t="s">
        <v>305</v>
      </c>
      <c r="D221" s="32">
        <v>5</v>
      </c>
      <c r="E221" s="33" t="s">
        <v>343</v>
      </c>
      <c r="F221" s="13" t="s">
        <v>354</v>
      </c>
      <c r="G221" s="34"/>
      <c r="H221" s="32" t="s">
        <v>334</v>
      </c>
      <c r="I221" s="33">
        <v>0</v>
      </c>
      <c r="J221" s="74" t="s">
        <v>354</v>
      </c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7"/>
      <c r="AM221" s="67"/>
      <c r="AN221" s="67"/>
      <c r="AO221" s="67"/>
      <c r="AP221" s="67"/>
    </row>
    <row r="222" spans="1:42" x14ac:dyDescent="0.3">
      <c r="A222" s="91">
        <v>30</v>
      </c>
      <c r="B222" s="134" t="s">
        <v>486</v>
      </c>
      <c r="C222" s="91" t="s">
        <v>490</v>
      </c>
      <c r="D222" s="91">
        <v>1</v>
      </c>
      <c r="E222" s="136" t="s">
        <v>333</v>
      </c>
      <c r="F222" s="137" t="s">
        <v>392</v>
      </c>
      <c r="G222" s="138" t="s">
        <v>393</v>
      </c>
      <c r="H222" s="139" t="s">
        <v>334</v>
      </c>
      <c r="I222" s="140">
        <v>0</v>
      </c>
      <c r="J222" s="141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7"/>
      <c r="AM222" s="67"/>
      <c r="AN222" s="67"/>
      <c r="AO222" s="67"/>
      <c r="AP222" s="67"/>
    </row>
    <row r="223" spans="1:42" x14ac:dyDescent="0.3">
      <c r="A223" s="91">
        <v>30</v>
      </c>
      <c r="B223" s="134" t="s">
        <v>486</v>
      </c>
      <c r="C223" s="91" t="s">
        <v>490</v>
      </c>
      <c r="D223" s="91">
        <v>2</v>
      </c>
      <c r="E223" s="136" t="s">
        <v>335</v>
      </c>
      <c r="F223" s="137" t="s">
        <v>394</v>
      </c>
      <c r="G223" s="138" t="s">
        <v>394</v>
      </c>
      <c r="H223" s="142" t="s">
        <v>334</v>
      </c>
      <c r="I223" s="143">
        <v>0</v>
      </c>
      <c r="J223" s="141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7"/>
      <c r="AM223" s="67"/>
      <c r="AN223" s="67"/>
      <c r="AO223" s="67"/>
      <c r="AP223" s="67"/>
    </row>
    <row r="224" spans="1:42" x14ac:dyDescent="0.3">
      <c r="A224" s="91">
        <v>30</v>
      </c>
      <c r="B224" s="134" t="s">
        <v>486</v>
      </c>
      <c r="C224" s="91" t="s">
        <v>490</v>
      </c>
      <c r="D224" s="91">
        <v>3</v>
      </c>
      <c r="E224" s="136" t="s">
        <v>339</v>
      </c>
      <c r="F224" s="137" t="s">
        <v>395</v>
      </c>
      <c r="G224" s="138" t="s">
        <v>396</v>
      </c>
      <c r="H224" s="142" t="s">
        <v>334</v>
      </c>
      <c r="I224" s="143">
        <v>0</v>
      </c>
      <c r="J224" s="141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7"/>
      <c r="AM224" s="67"/>
      <c r="AN224" s="67"/>
      <c r="AO224" s="67"/>
      <c r="AP224" s="67"/>
    </row>
    <row r="225" spans="1:42" x14ac:dyDescent="0.3">
      <c r="A225" s="91">
        <v>30</v>
      </c>
      <c r="B225" s="134" t="s">
        <v>486</v>
      </c>
      <c r="C225" s="91" t="s">
        <v>490</v>
      </c>
      <c r="D225" s="91">
        <v>4</v>
      </c>
      <c r="E225" s="136" t="s">
        <v>340</v>
      </c>
      <c r="F225" s="132" t="s">
        <v>354</v>
      </c>
      <c r="G225" s="138"/>
      <c r="H225" s="91" t="s">
        <v>334</v>
      </c>
      <c r="I225" s="136">
        <v>0</v>
      </c>
      <c r="J225" s="144" t="s">
        <v>354</v>
      </c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7"/>
      <c r="AM225" s="67"/>
      <c r="AN225" s="67"/>
      <c r="AO225" s="67"/>
      <c r="AP225" s="67"/>
    </row>
    <row r="226" spans="1:42" x14ac:dyDescent="0.3">
      <c r="A226" s="91">
        <v>30</v>
      </c>
      <c r="B226" s="134" t="s">
        <v>486</v>
      </c>
      <c r="C226" s="91" t="s">
        <v>490</v>
      </c>
      <c r="D226" s="91">
        <v>5</v>
      </c>
      <c r="E226" s="136" t="s">
        <v>343</v>
      </c>
      <c r="F226" s="132" t="s">
        <v>354</v>
      </c>
      <c r="G226" s="138"/>
      <c r="H226" s="91" t="s">
        <v>334</v>
      </c>
      <c r="I226" s="136">
        <v>0</v>
      </c>
      <c r="J226" s="144" t="s">
        <v>354</v>
      </c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7"/>
      <c r="AM226" s="67"/>
      <c r="AN226" s="67"/>
      <c r="AO226" s="67"/>
      <c r="AP226" s="67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7"/>
  <sheetViews>
    <sheetView workbookViewId="0">
      <selection activeCell="A26" sqref="A26:I27"/>
    </sheetView>
  </sheetViews>
  <sheetFormatPr defaultColWidth="8.6640625" defaultRowHeight="14.4" x14ac:dyDescent="0.3"/>
  <cols>
    <col min="1" max="1" width="7.5546875" bestFit="1" customWidth="1"/>
    <col min="2" max="2" width="19.6640625" bestFit="1" customWidth="1"/>
    <col min="3" max="3" width="15.33203125" bestFit="1" customWidth="1"/>
    <col min="4" max="4" width="12.6640625" bestFit="1" customWidth="1"/>
    <col min="5" max="5" width="39.44140625" bestFit="1" customWidth="1"/>
    <col min="6" max="6" width="4.6640625" bestFit="1" customWidth="1"/>
    <col min="7" max="7" width="20" bestFit="1" customWidth="1"/>
    <col min="8" max="8" width="20.33203125" bestFit="1" customWidth="1"/>
    <col min="9" max="41" width="5" bestFit="1" customWidth="1"/>
  </cols>
  <sheetData>
    <row r="1" spans="1:41" x14ac:dyDescent="0.3">
      <c r="A1" s="15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331</v>
      </c>
      <c r="H1" s="16" t="s">
        <v>332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7">
        <v>1</v>
      </c>
      <c r="B2" s="8" t="s">
        <v>307</v>
      </c>
      <c r="C2" s="8" t="s">
        <v>308</v>
      </c>
      <c r="D2" s="8">
        <v>1</v>
      </c>
      <c r="E2" s="8" t="s">
        <v>340</v>
      </c>
      <c r="F2" s="8" t="s">
        <v>354</v>
      </c>
      <c r="G2" s="8" t="s">
        <v>416</v>
      </c>
      <c r="H2" s="8">
        <v>0</v>
      </c>
      <c r="I2" s="8" t="s">
        <v>354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spans="1:41" x14ac:dyDescent="0.3">
      <c r="A3" s="7">
        <v>1</v>
      </c>
      <c r="B3" s="8" t="s">
        <v>307</v>
      </c>
      <c r="C3" s="8" t="s">
        <v>308</v>
      </c>
      <c r="D3" s="8">
        <v>2</v>
      </c>
      <c r="E3" s="8" t="s">
        <v>343</v>
      </c>
      <c r="F3" s="8" t="s">
        <v>354</v>
      </c>
      <c r="G3" s="8" t="s">
        <v>416</v>
      </c>
      <c r="H3" s="8">
        <v>0</v>
      </c>
      <c r="I3" s="8" t="s">
        <v>354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x14ac:dyDescent="0.3">
      <c r="A4" s="18">
        <v>2</v>
      </c>
      <c r="B4" s="17" t="s">
        <v>309</v>
      </c>
      <c r="C4" s="17" t="s">
        <v>310</v>
      </c>
      <c r="D4" s="17">
        <v>1</v>
      </c>
      <c r="E4" s="17" t="s">
        <v>340</v>
      </c>
      <c r="F4" s="17" t="s">
        <v>354</v>
      </c>
      <c r="G4" s="17" t="s">
        <v>416</v>
      </c>
      <c r="H4" s="17">
        <v>0</v>
      </c>
      <c r="I4" s="17" t="s">
        <v>354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x14ac:dyDescent="0.3">
      <c r="A5" s="18">
        <v>2</v>
      </c>
      <c r="B5" s="17" t="s">
        <v>309</v>
      </c>
      <c r="C5" s="17" t="s">
        <v>310</v>
      </c>
      <c r="D5" s="17">
        <v>2</v>
      </c>
      <c r="E5" s="17" t="s">
        <v>343</v>
      </c>
      <c r="F5" s="17" t="s">
        <v>354</v>
      </c>
      <c r="G5" s="17" t="s">
        <v>416</v>
      </c>
      <c r="H5" s="17">
        <v>0</v>
      </c>
      <c r="I5" s="17" t="s">
        <v>354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x14ac:dyDescent="0.3">
      <c r="A6" s="7">
        <v>3</v>
      </c>
      <c r="B6" s="8" t="s">
        <v>311</v>
      </c>
      <c r="C6" s="8" t="s">
        <v>312</v>
      </c>
      <c r="D6" s="8">
        <v>1</v>
      </c>
      <c r="E6" s="8" t="s">
        <v>340</v>
      </c>
      <c r="F6" s="8" t="s">
        <v>354</v>
      </c>
      <c r="G6" s="8" t="s">
        <v>416</v>
      </c>
      <c r="H6" s="8">
        <v>0</v>
      </c>
      <c r="I6" s="8" t="s">
        <v>354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x14ac:dyDescent="0.3">
      <c r="A7" s="7">
        <v>3</v>
      </c>
      <c r="B7" s="8" t="s">
        <v>311</v>
      </c>
      <c r="C7" s="8" t="s">
        <v>312</v>
      </c>
      <c r="D7" s="8">
        <v>2</v>
      </c>
      <c r="E7" s="8" t="s">
        <v>343</v>
      </c>
      <c r="F7" s="8" t="s">
        <v>354</v>
      </c>
      <c r="G7" s="8" t="s">
        <v>416</v>
      </c>
      <c r="H7" s="8">
        <v>0</v>
      </c>
      <c r="I7" s="8" t="s">
        <v>354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spans="1:41" x14ac:dyDescent="0.3">
      <c r="A8" s="18">
        <v>4</v>
      </c>
      <c r="B8" s="17" t="s">
        <v>313</v>
      </c>
      <c r="C8" s="17" t="s">
        <v>314</v>
      </c>
      <c r="D8" s="17">
        <v>1</v>
      </c>
      <c r="E8" s="17" t="s">
        <v>340</v>
      </c>
      <c r="F8" s="17" t="s">
        <v>354</v>
      </c>
      <c r="G8" s="17" t="s">
        <v>416</v>
      </c>
      <c r="H8" s="17">
        <v>0</v>
      </c>
      <c r="I8" s="17" t="s">
        <v>354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spans="1:41" x14ac:dyDescent="0.3">
      <c r="A9" s="18">
        <v>4</v>
      </c>
      <c r="B9" s="17" t="s">
        <v>313</v>
      </c>
      <c r="C9" s="17" t="s">
        <v>314</v>
      </c>
      <c r="D9" s="17">
        <v>2</v>
      </c>
      <c r="E9" s="17" t="s">
        <v>343</v>
      </c>
      <c r="F9" s="17" t="s">
        <v>354</v>
      </c>
      <c r="G9" s="17" t="s">
        <v>416</v>
      </c>
      <c r="H9" s="17">
        <v>0</v>
      </c>
      <c r="I9" s="17" t="s">
        <v>354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spans="1:41" x14ac:dyDescent="0.3">
      <c r="A10" s="7">
        <v>5</v>
      </c>
      <c r="B10" s="8" t="s">
        <v>315</v>
      </c>
      <c r="C10" s="8" t="s">
        <v>316</v>
      </c>
      <c r="D10" s="8">
        <v>1</v>
      </c>
      <c r="E10" s="8" t="s">
        <v>340</v>
      </c>
      <c r="F10" s="8" t="s">
        <v>354</v>
      </c>
      <c r="G10" s="8" t="s">
        <v>416</v>
      </c>
      <c r="H10" s="8">
        <v>0</v>
      </c>
      <c r="I10" s="8" t="s">
        <v>354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spans="1:41" x14ac:dyDescent="0.3">
      <c r="A11" s="7">
        <v>5</v>
      </c>
      <c r="B11" s="8" t="s">
        <v>315</v>
      </c>
      <c r="C11" s="8" t="s">
        <v>316</v>
      </c>
      <c r="D11" s="8">
        <v>2</v>
      </c>
      <c r="E11" s="8" t="s">
        <v>343</v>
      </c>
      <c r="F11" s="8" t="s">
        <v>354</v>
      </c>
      <c r="G11" s="8" t="s">
        <v>416</v>
      </c>
      <c r="H11" s="8">
        <v>0</v>
      </c>
      <c r="I11" s="8" t="s">
        <v>354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1:41" x14ac:dyDescent="0.3">
      <c r="A12" s="13">
        <v>6</v>
      </c>
      <c r="B12" s="14" t="s">
        <v>317</v>
      </c>
      <c r="C12" s="14" t="s">
        <v>318</v>
      </c>
      <c r="D12" s="14">
        <v>1</v>
      </c>
      <c r="E12" s="14" t="s">
        <v>340</v>
      </c>
      <c r="F12" s="14" t="s">
        <v>354</v>
      </c>
      <c r="G12" s="14" t="s">
        <v>416</v>
      </c>
      <c r="H12" s="14">
        <v>0</v>
      </c>
      <c r="I12" s="14" t="s">
        <v>354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1:41" x14ac:dyDescent="0.3">
      <c r="A13" s="13">
        <v>6</v>
      </c>
      <c r="B13" s="14" t="s">
        <v>317</v>
      </c>
      <c r="C13" s="14" t="s">
        <v>318</v>
      </c>
      <c r="D13" s="14">
        <v>2</v>
      </c>
      <c r="E13" s="14" t="s">
        <v>343</v>
      </c>
      <c r="F13" s="14" t="s">
        <v>354</v>
      </c>
      <c r="G13" s="14" t="s">
        <v>416</v>
      </c>
      <c r="H13" s="14">
        <v>0</v>
      </c>
      <c r="I13" s="14" t="s">
        <v>354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x14ac:dyDescent="0.3">
      <c r="A14" s="7">
        <v>7</v>
      </c>
      <c r="B14" s="8" t="s">
        <v>319</v>
      </c>
      <c r="C14" s="8" t="s">
        <v>320</v>
      </c>
      <c r="D14" s="8">
        <v>1</v>
      </c>
      <c r="E14" s="8" t="s">
        <v>340</v>
      </c>
      <c r="F14" s="8" t="s">
        <v>354</v>
      </c>
      <c r="G14" s="8" t="s">
        <v>416</v>
      </c>
      <c r="H14" s="8">
        <v>0</v>
      </c>
      <c r="I14" s="8" t="s">
        <v>354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1:41" x14ac:dyDescent="0.3">
      <c r="A15" s="7">
        <v>7</v>
      </c>
      <c r="B15" s="8" t="s">
        <v>319</v>
      </c>
      <c r="C15" s="8" t="s">
        <v>320</v>
      </c>
      <c r="D15" s="8">
        <v>2</v>
      </c>
      <c r="E15" s="8" t="s">
        <v>343</v>
      </c>
      <c r="F15" s="8" t="s">
        <v>354</v>
      </c>
      <c r="G15" s="8" t="s">
        <v>416</v>
      </c>
      <c r="H15" s="8">
        <v>0</v>
      </c>
      <c r="I15" s="8" t="s">
        <v>354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1:41" x14ac:dyDescent="0.3">
      <c r="A16" s="13">
        <v>8</v>
      </c>
      <c r="B16" s="14" t="s">
        <v>321</v>
      </c>
      <c r="C16" s="14" t="s">
        <v>322</v>
      </c>
      <c r="D16" s="14">
        <v>1</v>
      </c>
      <c r="E16" s="14" t="s">
        <v>340</v>
      </c>
      <c r="F16" s="14" t="s">
        <v>354</v>
      </c>
      <c r="G16" s="14" t="s">
        <v>416</v>
      </c>
      <c r="H16" s="14">
        <v>0</v>
      </c>
      <c r="I16" s="14" t="s">
        <v>354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1:41" x14ac:dyDescent="0.3">
      <c r="A17" s="13">
        <v>8</v>
      </c>
      <c r="B17" s="14" t="s">
        <v>321</v>
      </c>
      <c r="C17" s="14" t="s">
        <v>322</v>
      </c>
      <c r="D17" s="14">
        <v>2</v>
      </c>
      <c r="E17" s="14" t="s">
        <v>343</v>
      </c>
      <c r="F17" s="14" t="s">
        <v>354</v>
      </c>
      <c r="G17" s="14" t="s">
        <v>416</v>
      </c>
      <c r="H17" s="14">
        <v>0</v>
      </c>
      <c r="I17" s="14" t="s">
        <v>354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x14ac:dyDescent="0.3">
      <c r="A18" s="7">
        <v>9</v>
      </c>
      <c r="B18" s="8" t="s">
        <v>323</v>
      </c>
      <c r="C18" s="8" t="s">
        <v>324</v>
      </c>
      <c r="D18" s="8">
        <v>1</v>
      </c>
      <c r="E18" s="8" t="s">
        <v>340</v>
      </c>
      <c r="F18" s="8" t="s">
        <v>354</v>
      </c>
      <c r="G18" s="8" t="s">
        <v>416</v>
      </c>
      <c r="H18" s="8">
        <v>0</v>
      </c>
      <c r="I18" s="8" t="s">
        <v>354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1:41" x14ac:dyDescent="0.3">
      <c r="A19" s="7">
        <v>9</v>
      </c>
      <c r="B19" s="8" t="s">
        <v>323</v>
      </c>
      <c r="C19" s="8" t="s">
        <v>324</v>
      </c>
      <c r="D19" s="8">
        <v>2</v>
      </c>
      <c r="E19" s="8" t="s">
        <v>343</v>
      </c>
      <c r="F19" s="8" t="s">
        <v>354</v>
      </c>
      <c r="G19" s="8" t="s">
        <v>416</v>
      </c>
      <c r="H19" s="8">
        <v>0</v>
      </c>
      <c r="I19" s="8" t="s">
        <v>354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x14ac:dyDescent="0.3">
      <c r="A20" s="13">
        <v>10</v>
      </c>
      <c r="B20" s="14" t="s">
        <v>325</v>
      </c>
      <c r="C20" s="14" t="s">
        <v>326</v>
      </c>
      <c r="D20" s="14">
        <v>1</v>
      </c>
      <c r="E20" s="14" t="s">
        <v>340</v>
      </c>
      <c r="F20" s="14" t="s">
        <v>354</v>
      </c>
      <c r="G20" s="14" t="s">
        <v>416</v>
      </c>
      <c r="H20" s="14">
        <v>0</v>
      </c>
      <c r="I20" s="14" t="s">
        <v>354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x14ac:dyDescent="0.3">
      <c r="A21" s="13">
        <v>10</v>
      </c>
      <c r="B21" s="14" t="s">
        <v>325</v>
      </c>
      <c r="C21" s="14" t="s">
        <v>326</v>
      </c>
      <c r="D21" s="14">
        <v>2</v>
      </c>
      <c r="E21" s="14" t="s">
        <v>343</v>
      </c>
      <c r="F21" s="14" t="s">
        <v>354</v>
      </c>
      <c r="G21" s="14" t="s">
        <v>416</v>
      </c>
      <c r="H21" s="14">
        <v>0</v>
      </c>
      <c r="I21" s="14" t="s">
        <v>354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1:41" x14ac:dyDescent="0.3">
      <c r="A22" s="7">
        <v>11</v>
      </c>
      <c r="B22" s="8" t="s">
        <v>327</v>
      </c>
      <c r="C22" s="8" t="s">
        <v>328</v>
      </c>
      <c r="D22" s="8">
        <v>1</v>
      </c>
      <c r="E22" s="8" t="s">
        <v>340</v>
      </c>
      <c r="F22" s="8" t="s">
        <v>354</v>
      </c>
      <c r="G22" s="8" t="s">
        <v>416</v>
      </c>
      <c r="H22" s="8">
        <v>0</v>
      </c>
      <c r="I22" s="8" t="s">
        <v>354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1:41" x14ac:dyDescent="0.3">
      <c r="A23" s="7">
        <v>11</v>
      </c>
      <c r="B23" s="8" t="s">
        <v>327</v>
      </c>
      <c r="C23" s="8" t="s">
        <v>328</v>
      </c>
      <c r="D23" s="8">
        <v>2</v>
      </c>
      <c r="E23" s="8" t="s">
        <v>343</v>
      </c>
      <c r="F23" s="8" t="s">
        <v>354</v>
      </c>
      <c r="G23" s="8" t="s">
        <v>416</v>
      </c>
      <c r="H23" s="8">
        <v>0</v>
      </c>
      <c r="I23" s="8" t="s">
        <v>354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x14ac:dyDescent="0.3">
      <c r="A24" s="13">
        <v>12</v>
      </c>
      <c r="B24" s="14" t="s">
        <v>329</v>
      </c>
      <c r="C24" s="14" t="s">
        <v>330</v>
      </c>
      <c r="D24" s="14">
        <v>1</v>
      </c>
      <c r="E24" s="14" t="s">
        <v>340</v>
      </c>
      <c r="F24" s="14" t="s">
        <v>354</v>
      </c>
      <c r="G24" s="14" t="s">
        <v>416</v>
      </c>
      <c r="H24" s="14">
        <v>0</v>
      </c>
      <c r="I24" s="14" t="s">
        <v>354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x14ac:dyDescent="0.3">
      <c r="A25" s="13">
        <v>12</v>
      </c>
      <c r="B25" s="14" t="s">
        <v>329</v>
      </c>
      <c r="C25" s="14" t="s">
        <v>330</v>
      </c>
      <c r="D25" s="14">
        <v>2</v>
      </c>
      <c r="E25" s="14" t="s">
        <v>343</v>
      </c>
      <c r="F25" s="14" t="s">
        <v>354</v>
      </c>
      <c r="G25" s="14" t="s">
        <v>416</v>
      </c>
      <c r="H25" s="14">
        <v>0</v>
      </c>
      <c r="I25" s="14" t="s">
        <v>354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x14ac:dyDescent="0.3">
      <c r="A26" s="132">
        <v>13</v>
      </c>
      <c r="B26" s="135" t="s">
        <v>488</v>
      </c>
      <c r="C26" s="135" t="s">
        <v>490</v>
      </c>
      <c r="D26" s="133">
        <v>1</v>
      </c>
      <c r="E26" s="133" t="s">
        <v>340</v>
      </c>
      <c r="F26" s="133" t="s">
        <v>354</v>
      </c>
      <c r="G26" s="133" t="s">
        <v>416</v>
      </c>
      <c r="H26" s="133">
        <v>0</v>
      </c>
      <c r="I26" s="133" t="s">
        <v>354</v>
      </c>
    </row>
    <row r="27" spans="1:41" x14ac:dyDescent="0.3">
      <c r="A27" s="132">
        <v>13</v>
      </c>
      <c r="B27" s="135" t="s">
        <v>488</v>
      </c>
      <c r="C27" s="135" t="s">
        <v>490</v>
      </c>
      <c r="D27" s="133">
        <v>2</v>
      </c>
      <c r="E27" s="133" t="s">
        <v>343</v>
      </c>
      <c r="F27" s="133" t="s">
        <v>354</v>
      </c>
      <c r="G27" s="133" t="s">
        <v>416</v>
      </c>
      <c r="H27" s="133">
        <v>0</v>
      </c>
      <c r="I27" s="133" t="s">
        <v>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76"/>
  <sheetViews>
    <sheetView topLeftCell="A64" workbookViewId="0">
      <selection activeCell="D1" sqref="D1"/>
    </sheetView>
  </sheetViews>
  <sheetFormatPr defaultColWidth="8.6640625" defaultRowHeight="14.4" x14ac:dyDescent="0.3"/>
  <cols>
    <col min="1" max="1" width="7.5546875" bestFit="1" customWidth="1"/>
    <col min="2" max="2" width="11.33203125" bestFit="1" customWidth="1"/>
    <col min="3" max="3" width="36.5546875" bestFit="1" customWidth="1"/>
    <col min="4" max="4" width="12.6640625" bestFit="1" customWidth="1"/>
    <col min="5" max="5" width="16.33203125" bestFit="1" customWidth="1"/>
    <col min="6" max="6" width="4.6640625" bestFit="1" customWidth="1"/>
    <col min="7" max="7" width="16.33203125" bestFit="1" customWidth="1"/>
    <col min="8" max="8" width="20.33203125" bestFit="1" customWidth="1"/>
    <col min="9" max="41" width="5" bestFit="1" customWidth="1"/>
  </cols>
  <sheetData>
    <row r="1" spans="1:41" x14ac:dyDescent="0.3">
      <c r="A1" s="15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331</v>
      </c>
      <c r="H1" s="16" t="s">
        <v>332</v>
      </c>
      <c r="I1" s="16">
        <v>2018</v>
      </c>
      <c r="J1" s="16">
        <v>2019</v>
      </c>
      <c r="K1" s="16">
        <v>2020</v>
      </c>
      <c r="L1" s="16">
        <v>2021</v>
      </c>
      <c r="M1" s="16">
        <v>2022</v>
      </c>
      <c r="N1" s="16">
        <v>2023</v>
      </c>
      <c r="O1" s="16">
        <v>2024</v>
      </c>
      <c r="P1" s="16">
        <v>2025</v>
      </c>
      <c r="Q1" s="16">
        <v>2026</v>
      </c>
      <c r="R1" s="16">
        <v>2027</v>
      </c>
      <c r="S1" s="16">
        <v>2028</v>
      </c>
      <c r="T1" s="16">
        <v>2029</v>
      </c>
      <c r="U1" s="16">
        <v>2030</v>
      </c>
      <c r="V1" s="16">
        <v>2031</v>
      </c>
      <c r="W1" s="16">
        <v>2032</v>
      </c>
      <c r="X1" s="16">
        <v>2033</v>
      </c>
      <c r="Y1" s="16">
        <v>2034</v>
      </c>
      <c r="Z1" s="16">
        <v>2035</v>
      </c>
      <c r="AA1" s="16">
        <v>2036</v>
      </c>
      <c r="AB1" s="16">
        <v>2037</v>
      </c>
      <c r="AC1" s="16">
        <v>2038</v>
      </c>
      <c r="AD1" s="16">
        <v>2039</v>
      </c>
      <c r="AE1" s="16">
        <v>2040</v>
      </c>
      <c r="AF1" s="16">
        <v>2041</v>
      </c>
      <c r="AG1" s="16">
        <v>2042</v>
      </c>
      <c r="AH1" s="16">
        <v>2043</v>
      </c>
      <c r="AI1" s="16">
        <v>2044</v>
      </c>
      <c r="AJ1" s="16">
        <v>2045</v>
      </c>
      <c r="AK1" s="16">
        <v>2046</v>
      </c>
      <c r="AL1" s="16">
        <v>2047</v>
      </c>
      <c r="AM1" s="16">
        <v>2048</v>
      </c>
      <c r="AN1" s="16">
        <v>2049</v>
      </c>
      <c r="AO1" s="16">
        <v>2050</v>
      </c>
    </row>
    <row r="2" spans="1:41" x14ac:dyDescent="0.3">
      <c r="A2" s="7">
        <v>1</v>
      </c>
      <c r="B2" s="8" t="s">
        <v>166</v>
      </c>
      <c r="C2" s="8" t="s">
        <v>167</v>
      </c>
      <c r="D2" s="8">
        <v>1</v>
      </c>
      <c r="E2" s="8" t="s">
        <v>333</v>
      </c>
      <c r="F2" s="8" t="s">
        <v>354</v>
      </c>
      <c r="G2" s="8" t="s">
        <v>334</v>
      </c>
      <c r="H2" s="8">
        <v>0</v>
      </c>
      <c r="I2" s="8" t="s">
        <v>354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spans="1:41" x14ac:dyDescent="0.3">
      <c r="A3" s="7">
        <v>1</v>
      </c>
      <c r="B3" s="8" t="s">
        <v>166</v>
      </c>
      <c r="C3" s="8" t="s">
        <v>167</v>
      </c>
      <c r="D3" s="8">
        <v>2</v>
      </c>
      <c r="E3" s="8" t="s">
        <v>335</v>
      </c>
      <c r="F3" s="8" t="s">
        <v>354</v>
      </c>
      <c r="G3" s="8" t="s">
        <v>334</v>
      </c>
      <c r="H3" s="8">
        <v>0</v>
      </c>
      <c r="I3" s="8" t="s">
        <v>354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spans="1:41" x14ac:dyDescent="0.3">
      <c r="A4" s="7">
        <v>1</v>
      </c>
      <c r="B4" s="8" t="s">
        <v>166</v>
      </c>
      <c r="C4" s="8" t="s">
        <v>167</v>
      </c>
      <c r="D4" s="8">
        <v>3</v>
      </c>
      <c r="E4" s="8" t="s">
        <v>339</v>
      </c>
      <c r="F4" s="8" t="s">
        <v>354</v>
      </c>
      <c r="G4" s="8" t="s">
        <v>334</v>
      </c>
      <c r="H4" s="8">
        <v>0</v>
      </c>
      <c r="I4" s="8" t="s">
        <v>354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</row>
    <row r="5" spans="1:41" x14ac:dyDescent="0.3">
      <c r="A5" s="13">
        <v>2</v>
      </c>
      <c r="B5" s="14" t="s">
        <v>168</v>
      </c>
      <c r="C5" s="14" t="s">
        <v>169</v>
      </c>
      <c r="D5" s="14">
        <v>1</v>
      </c>
      <c r="E5" s="14" t="s">
        <v>333</v>
      </c>
      <c r="F5" s="14" t="s">
        <v>354</v>
      </c>
      <c r="G5" s="14" t="s">
        <v>334</v>
      </c>
      <c r="H5" s="14">
        <v>0</v>
      </c>
      <c r="I5" s="14" t="s">
        <v>354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</row>
    <row r="6" spans="1:41" x14ac:dyDescent="0.3">
      <c r="A6" s="13">
        <v>2</v>
      </c>
      <c r="B6" s="14" t="s">
        <v>168</v>
      </c>
      <c r="C6" s="14" t="s">
        <v>169</v>
      </c>
      <c r="D6" s="14">
        <v>2</v>
      </c>
      <c r="E6" s="14" t="s">
        <v>335</v>
      </c>
      <c r="F6" s="14" t="s">
        <v>354</v>
      </c>
      <c r="G6" s="14" t="s">
        <v>334</v>
      </c>
      <c r="H6" s="14">
        <v>0</v>
      </c>
      <c r="I6" s="14" t="s">
        <v>354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</row>
    <row r="7" spans="1:41" x14ac:dyDescent="0.3">
      <c r="A7" s="13">
        <v>2</v>
      </c>
      <c r="B7" s="14" t="s">
        <v>168</v>
      </c>
      <c r="C7" s="14" t="s">
        <v>169</v>
      </c>
      <c r="D7" s="14">
        <v>3</v>
      </c>
      <c r="E7" s="14" t="s">
        <v>339</v>
      </c>
      <c r="F7" s="14" t="s">
        <v>354</v>
      </c>
      <c r="G7" s="14" t="s">
        <v>334</v>
      </c>
      <c r="H7" s="14">
        <v>0</v>
      </c>
      <c r="I7" s="14" t="s">
        <v>354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spans="1:41" x14ac:dyDescent="0.3">
      <c r="A8" s="7">
        <v>3</v>
      </c>
      <c r="B8" s="8" t="s">
        <v>170</v>
      </c>
      <c r="C8" s="8" t="s">
        <v>171</v>
      </c>
      <c r="D8" s="8">
        <v>1</v>
      </c>
      <c r="E8" s="8" t="s">
        <v>333</v>
      </c>
      <c r="F8" s="8" t="s">
        <v>354</v>
      </c>
      <c r="G8" s="8" t="s">
        <v>334</v>
      </c>
      <c r="H8" s="8">
        <v>0</v>
      </c>
      <c r="I8" s="8" t="s">
        <v>354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</row>
    <row r="9" spans="1:41" x14ac:dyDescent="0.3">
      <c r="A9" s="7">
        <v>3</v>
      </c>
      <c r="B9" s="8" t="s">
        <v>170</v>
      </c>
      <c r="C9" s="8" t="s">
        <v>171</v>
      </c>
      <c r="D9" s="8">
        <v>2</v>
      </c>
      <c r="E9" s="8" t="s">
        <v>335</v>
      </c>
      <c r="F9" s="8" t="s">
        <v>354</v>
      </c>
      <c r="G9" s="8" t="s">
        <v>334</v>
      </c>
      <c r="H9" s="8">
        <v>0</v>
      </c>
      <c r="I9" s="8" t="s">
        <v>354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</row>
    <row r="10" spans="1:41" x14ac:dyDescent="0.3">
      <c r="A10" s="7">
        <v>3</v>
      </c>
      <c r="B10" s="8" t="s">
        <v>170</v>
      </c>
      <c r="C10" s="8" t="s">
        <v>171</v>
      </c>
      <c r="D10" s="8">
        <v>3</v>
      </c>
      <c r="E10" s="8" t="s">
        <v>339</v>
      </c>
      <c r="F10" s="8" t="s">
        <v>354</v>
      </c>
      <c r="G10" s="8" t="s">
        <v>334</v>
      </c>
      <c r="H10" s="8">
        <v>0</v>
      </c>
      <c r="I10" s="8" t="s">
        <v>354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</row>
    <row r="11" spans="1:41" x14ac:dyDescent="0.3">
      <c r="A11" s="13">
        <v>4</v>
      </c>
      <c r="B11" s="14" t="s">
        <v>172</v>
      </c>
      <c r="C11" s="14" t="s">
        <v>173</v>
      </c>
      <c r="D11" s="14">
        <v>1</v>
      </c>
      <c r="E11" s="14" t="s">
        <v>333</v>
      </c>
      <c r="F11" s="14" t="s">
        <v>354</v>
      </c>
      <c r="G11" s="14" t="s">
        <v>334</v>
      </c>
      <c r="H11" s="14">
        <v>0</v>
      </c>
      <c r="I11" s="14" t="s">
        <v>354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1:41" x14ac:dyDescent="0.3">
      <c r="A12" s="13">
        <v>4</v>
      </c>
      <c r="B12" s="14" t="s">
        <v>172</v>
      </c>
      <c r="C12" s="14" t="s">
        <v>173</v>
      </c>
      <c r="D12" s="14">
        <v>2</v>
      </c>
      <c r="E12" s="14" t="s">
        <v>335</v>
      </c>
      <c r="F12" s="14" t="s">
        <v>354</v>
      </c>
      <c r="G12" s="14" t="s">
        <v>334</v>
      </c>
      <c r="H12" s="14">
        <v>0</v>
      </c>
      <c r="I12" s="14" t="s">
        <v>354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spans="1:41" x14ac:dyDescent="0.3">
      <c r="A13" s="13">
        <v>4</v>
      </c>
      <c r="B13" s="14" t="s">
        <v>172</v>
      </c>
      <c r="C13" s="14" t="s">
        <v>173</v>
      </c>
      <c r="D13" s="14">
        <v>3</v>
      </c>
      <c r="E13" s="14" t="s">
        <v>339</v>
      </c>
      <c r="F13" s="14" t="s">
        <v>354</v>
      </c>
      <c r="G13" s="14" t="s">
        <v>334</v>
      </c>
      <c r="H13" s="14">
        <v>0</v>
      </c>
      <c r="I13" s="14" t="s">
        <v>354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</row>
    <row r="14" spans="1:41" x14ac:dyDescent="0.3">
      <c r="A14" s="7">
        <v>5</v>
      </c>
      <c r="B14" s="8" t="s">
        <v>174</v>
      </c>
      <c r="C14" s="8" t="s">
        <v>175</v>
      </c>
      <c r="D14" s="8">
        <v>1</v>
      </c>
      <c r="E14" s="8" t="s">
        <v>333</v>
      </c>
      <c r="F14" s="8" t="s">
        <v>354</v>
      </c>
      <c r="G14" s="8" t="s">
        <v>334</v>
      </c>
      <c r="H14" s="8">
        <v>0</v>
      </c>
      <c r="I14" s="8" t="s">
        <v>354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</row>
    <row r="15" spans="1:41" x14ac:dyDescent="0.3">
      <c r="A15" s="7">
        <v>5</v>
      </c>
      <c r="B15" s="8" t="s">
        <v>174</v>
      </c>
      <c r="C15" s="8" t="s">
        <v>175</v>
      </c>
      <c r="D15" s="8">
        <v>2</v>
      </c>
      <c r="E15" s="8" t="s">
        <v>335</v>
      </c>
      <c r="F15" s="8" t="s">
        <v>354</v>
      </c>
      <c r="G15" s="8" t="s">
        <v>334</v>
      </c>
      <c r="H15" s="8">
        <v>0</v>
      </c>
      <c r="I15" s="8" t="s">
        <v>354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</row>
    <row r="16" spans="1:41" x14ac:dyDescent="0.3">
      <c r="A16" s="7">
        <v>5</v>
      </c>
      <c r="B16" s="8" t="s">
        <v>174</v>
      </c>
      <c r="C16" s="8" t="s">
        <v>175</v>
      </c>
      <c r="D16" s="8">
        <v>3</v>
      </c>
      <c r="E16" s="8" t="s">
        <v>339</v>
      </c>
      <c r="F16" s="8" t="s">
        <v>354</v>
      </c>
      <c r="G16" s="8" t="s">
        <v>334</v>
      </c>
      <c r="H16" s="8">
        <v>0</v>
      </c>
      <c r="I16" s="8" t="s">
        <v>354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</row>
    <row r="17" spans="1:41" x14ac:dyDescent="0.3">
      <c r="A17" s="13">
        <v>6</v>
      </c>
      <c r="B17" s="14" t="s">
        <v>176</v>
      </c>
      <c r="C17" s="14" t="s">
        <v>177</v>
      </c>
      <c r="D17" s="14">
        <v>1</v>
      </c>
      <c r="E17" s="14" t="s">
        <v>333</v>
      </c>
      <c r="F17" s="14" t="s">
        <v>354</v>
      </c>
      <c r="G17" s="14" t="s">
        <v>334</v>
      </c>
      <c r="H17" s="14">
        <v>0</v>
      </c>
      <c r="I17" s="14" t="s">
        <v>354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</row>
    <row r="18" spans="1:41" x14ac:dyDescent="0.3">
      <c r="A18" s="13">
        <v>6</v>
      </c>
      <c r="B18" s="14" t="s">
        <v>176</v>
      </c>
      <c r="C18" s="14" t="s">
        <v>177</v>
      </c>
      <c r="D18" s="14">
        <v>2</v>
      </c>
      <c r="E18" s="14" t="s">
        <v>335</v>
      </c>
      <c r="F18" s="14" t="s">
        <v>354</v>
      </c>
      <c r="G18" s="14" t="s">
        <v>334</v>
      </c>
      <c r="H18" s="14">
        <v>0</v>
      </c>
      <c r="I18" s="14" t="s">
        <v>354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</row>
    <row r="19" spans="1:41" x14ac:dyDescent="0.3">
      <c r="A19" s="13">
        <v>6</v>
      </c>
      <c r="B19" s="14" t="s">
        <v>176</v>
      </c>
      <c r="C19" s="14" t="s">
        <v>177</v>
      </c>
      <c r="D19" s="14">
        <v>3</v>
      </c>
      <c r="E19" s="14" t="s">
        <v>339</v>
      </c>
      <c r="F19" s="14" t="s">
        <v>354</v>
      </c>
      <c r="G19" s="14" t="s">
        <v>334</v>
      </c>
      <c r="H19" s="14">
        <v>0</v>
      </c>
      <c r="I19" s="14" t="s">
        <v>354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</row>
    <row r="20" spans="1:41" x14ac:dyDescent="0.3">
      <c r="A20" s="7">
        <v>7</v>
      </c>
      <c r="B20" s="8" t="s">
        <v>178</v>
      </c>
      <c r="C20" s="8" t="s">
        <v>179</v>
      </c>
      <c r="D20" s="8">
        <v>1</v>
      </c>
      <c r="E20" s="8" t="s">
        <v>333</v>
      </c>
      <c r="F20" s="8" t="s">
        <v>354</v>
      </c>
      <c r="G20" s="8" t="s">
        <v>334</v>
      </c>
      <c r="H20" s="8">
        <v>0</v>
      </c>
      <c r="I20" s="8" t="s">
        <v>354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</row>
    <row r="21" spans="1:41" x14ac:dyDescent="0.3">
      <c r="A21" s="7">
        <v>7</v>
      </c>
      <c r="B21" s="8" t="s">
        <v>178</v>
      </c>
      <c r="C21" s="8" t="s">
        <v>179</v>
      </c>
      <c r="D21" s="8">
        <v>2</v>
      </c>
      <c r="E21" s="8" t="s">
        <v>335</v>
      </c>
      <c r="F21" s="8" t="s">
        <v>354</v>
      </c>
      <c r="G21" s="8" t="s">
        <v>334</v>
      </c>
      <c r="H21" s="8">
        <v>0</v>
      </c>
      <c r="I21" s="8" t="s">
        <v>354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</row>
    <row r="22" spans="1:41" x14ac:dyDescent="0.3">
      <c r="A22" s="7">
        <v>7</v>
      </c>
      <c r="B22" s="8" t="s">
        <v>178</v>
      </c>
      <c r="C22" s="8" t="s">
        <v>179</v>
      </c>
      <c r="D22" s="8">
        <v>3</v>
      </c>
      <c r="E22" s="8" t="s">
        <v>339</v>
      </c>
      <c r="F22" s="8" t="s">
        <v>354</v>
      </c>
      <c r="G22" s="8" t="s">
        <v>334</v>
      </c>
      <c r="H22" s="8">
        <v>0</v>
      </c>
      <c r="I22" s="8" t="s">
        <v>354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</row>
    <row r="23" spans="1:41" x14ac:dyDescent="0.3">
      <c r="A23" s="13">
        <v>8</v>
      </c>
      <c r="B23" s="14" t="s">
        <v>406</v>
      </c>
      <c r="C23" s="14" t="s">
        <v>407</v>
      </c>
      <c r="D23" s="14">
        <v>1</v>
      </c>
      <c r="E23" s="14" t="s">
        <v>333</v>
      </c>
      <c r="F23" s="14" t="s">
        <v>354</v>
      </c>
      <c r="G23" s="14" t="s">
        <v>334</v>
      </c>
      <c r="H23" s="14">
        <v>0</v>
      </c>
      <c r="I23" s="14" t="s">
        <v>354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</row>
    <row r="24" spans="1:41" x14ac:dyDescent="0.3">
      <c r="A24" s="13">
        <v>8</v>
      </c>
      <c r="B24" s="14" t="s">
        <v>406</v>
      </c>
      <c r="C24" s="14" t="s">
        <v>407</v>
      </c>
      <c r="D24" s="14">
        <v>2</v>
      </c>
      <c r="E24" s="14" t="s">
        <v>335</v>
      </c>
      <c r="F24" s="14" t="s">
        <v>354</v>
      </c>
      <c r="G24" s="14" t="s">
        <v>334</v>
      </c>
      <c r="H24" s="14">
        <v>0</v>
      </c>
      <c r="I24" s="14" t="s">
        <v>354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</row>
    <row r="25" spans="1:41" x14ac:dyDescent="0.3">
      <c r="A25" s="13">
        <v>8</v>
      </c>
      <c r="B25" s="14" t="s">
        <v>406</v>
      </c>
      <c r="C25" s="14" t="s">
        <v>407</v>
      </c>
      <c r="D25" s="14">
        <v>3</v>
      </c>
      <c r="E25" s="14" t="s">
        <v>339</v>
      </c>
      <c r="F25" s="14" t="s">
        <v>354</v>
      </c>
      <c r="G25" s="14" t="s">
        <v>334</v>
      </c>
      <c r="H25" s="14">
        <v>0</v>
      </c>
      <c r="I25" s="14" t="s">
        <v>354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</row>
    <row r="26" spans="1:41" x14ac:dyDescent="0.3">
      <c r="A26" s="7">
        <v>9</v>
      </c>
      <c r="B26" s="8" t="s">
        <v>182</v>
      </c>
      <c r="C26" s="8" t="s">
        <v>183</v>
      </c>
      <c r="D26" s="8">
        <v>1</v>
      </c>
      <c r="E26" s="8" t="s">
        <v>333</v>
      </c>
      <c r="F26" s="8" t="s">
        <v>354</v>
      </c>
      <c r="G26" s="8" t="s">
        <v>334</v>
      </c>
      <c r="H26" s="8">
        <v>0</v>
      </c>
      <c r="I26" s="8" t="s">
        <v>354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</row>
    <row r="27" spans="1:41" x14ac:dyDescent="0.3">
      <c r="A27" s="7">
        <v>9</v>
      </c>
      <c r="B27" s="8" t="s">
        <v>182</v>
      </c>
      <c r="C27" s="8" t="s">
        <v>183</v>
      </c>
      <c r="D27" s="8">
        <v>2</v>
      </c>
      <c r="E27" s="8" t="s">
        <v>335</v>
      </c>
      <c r="F27" s="8" t="s">
        <v>354</v>
      </c>
      <c r="G27" s="8" t="s">
        <v>334</v>
      </c>
      <c r="H27" s="8">
        <v>0</v>
      </c>
      <c r="I27" s="8" t="s">
        <v>354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</row>
    <row r="28" spans="1:41" x14ac:dyDescent="0.3">
      <c r="A28" s="7">
        <v>9</v>
      </c>
      <c r="B28" s="8" t="s">
        <v>182</v>
      </c>
      <c r="C28" s="8" t="s">
        <v>183</v>
      </c>
      <c r="D28" s="8">
        <v>3</v>
      </c>
      <c r="E28" s="8" t="s">
        <v>339</v>
      </c>
      <c r="F28" s="8" t="s">
        <v>354</v>
      </c>
      <c r="G28" s="8" t="s">
        <v>334</v>
      </c>
      <c r="H28" s="8">
        <v>0</v>
      </c>
      <c r="I28" s="8" t="s">
        <v>354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</row>
    <row r="29" spans="1:41" x14ac:dyDescent="0.3">
      <c r="A29" s="7">
        <v>10</v>
      </c>
      <c r="B29" s="8" t="s">
        <v>408</v>
      </c>
      <c r="C29" s="8" t="s">
        <v>409</v>
      </c>
      <c r="D29" s="8">
        <v>1</v>
      </c>
      <c r="E29" s="8" t="s">
        <v>333</v>
      </c>
      <c r="F29" s="8" t="s">
        <v>354</v>
      </c>
      <c r="G29" s="8" t="s">
        <v>334</v>
      </c>
      <c r="H29" s="8">
        <v>0</v>
      </c>
      <c r="I29" s="8" t="s">
        <v>354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</row>
    <row r="30" spans="1:41" x14ac:dyDescent="0.3">
      <c r="A30" s="7">
        <v>10</v>
      </c>
      <c r="B30" s="8" t="s">
        <v>408</v>
      </c>
      <c r="C30" s="8" t="s">
        <v>409</v>
      </c>
      <c r="D30" s="8">
        <v>2</v>
      </c>
      <c r="E30" s="8" t="s">
        <v>335</v>
      </c>
      <c r="F30" s="8" t="s">
        <v>354</v>
      </c>
      <c r="G30" s="8" t="s">
        <v>334</v>
      </c>
      <c r="H30" s="8">
        <v>0</v>
      </c>
      <c r="I30" s="8" t="s">
        <v>354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</row>
    <row r="31" spans="1:41" x14ac:dyDescent="0.3">
      <c r="A31" s="7">
        <v>10</v>
      </c>
      <c r="B31" s="8" t="s">
        <v>408</v>
      </c>
      <c r="C31" s="8" t="s">
        <v>409</v>
      </c>
      <c r="D31" s="8">
        <v>3</v>
      </c>
      <c r="E31" s="8" t="s">
        <v>339</v>
      </c>
      <c r="F31" s="8" t="s">
        <v>354</v>
      </c>
      <c r="G31" s="8" t="s">
        <v>334</v>
      </c>
      <c r="H31" s="8">
        <v>0</v>
      </c>
      <c r="I31" s="8" t="s">
        <v>354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</row>
    <row r="32" spans="1:41" x14ac:dyDescent="0.3">
      <c r="A32" s="13">
        <v>11</v>
      </c>
      <c r="B32" s="14" t="s">
        <v>186</v>
      </c>
      <c r="C32" s="14" t="s">
        <v>187</v>
      </c>
      <c r="D32" s="14">
        <v>1</v>
      </c>
      <c r="E32" s="14" t="s">
        <v>333</v>
      </c>
      <c r="F32" s="14" t="s">
        <v>354</v>
      </c>
      <c r="G32" s="14" t="s">
        <v>334</v>
      </c>
      <c r="H32" s="14">
        <v>0</v>
      </c>
      <c r="I32" s="14" t="s">
        <v>354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</row>
    <row r="33" spans="1:41" x14ac:dyDescent="0.3">
      <c r="A33" s="13">
        <v>11</v>
      </c>
      <c r="B33" s="14" t="s">
        <v>186</v>
      </c>
      <c r="C33" s="14" t="s">
        <v>187</v>
      </c>
      <c r="D33" s="14">
        <v>2</v>
      </c>
      <c r="E33" s="14" t="s">
        <v>335</v>
      </c>
      <c r="F33" s="14" t="s">
        <v>354</v>
      </c>
      <c r="G33" s="14" t="s">
        <v>334</v>
      </c>
      <c r="H33" s="14">
        <v>0</v>
      </c>
      <c r="I33" s="14" t="s">
        <v>354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</row>
    <row r="34" spans="1:41" x14ac:dyDescent="0.3">
      <c r="A34" s="13">
        <v>11</v>
      </c>
      <c r="B34" s="14" t="s">
        <v>186</v>
      </c>
      <c r="C34" s="14" t="s">
        <v>187</v>
      </c>
      <c r="D34" s="14">
        <v>3</v>
      </c>
      <c r="E34" s="14" t="s">
        <v>339</v>
      </c>
      <c r="F34" s="14" t="s">
        <v>354</v>
      </c>
      <c r="G34" s="14" t="s">
        <v>334</v>
      </c>
      <c r="H34" s="14">
        <v>0</v>
      </c>
      <c r="I34" s="14" t="s">
        <v>354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</row>
    <row r="35" spans="1:41" x14ac:dyDescent="0.3">
      <c r="A35" s="7">
        <v>12</v>
      </c>
      <c r="B35" s="8" t="s">
        <v>188</v>
      </c>
      <c r="C35" s="8" t="s">
        <v>189</v>
      </c>
      <c r="D35" s="8">
        <v>1</v>
      </c>
      <c r="E35" s="8" t="s">
        <v>333</v>
      </c>
      <c r="F35" s="8" t="s">
        <v>354</v>
      </c>
      <c r="G35" s="8" t="s">
        <v>334</v>
      </c>
      <c r="H35" s="8">
        <v>0</v>
      </c>
      <c r="I35" s="8" t="s">
        <v>354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</row>
    <row r="36" spans="1:41" x14ac:dyDescent="0.3">
      <c r="A36" s="7">
        <v>12</v>
      </c>
      <c r="B36" s="8" t="s">
        <v>188</v>
      </c>
      <c r="C36" s="8" t="s">
        <v>189</v>
      </c>
      <c r="D36" s="8">
        <v>2</v>
      </c>
      <c r="E36" s="8" t="s">
        <v>335</v>
      </c>
      <c r="F36" s="8" t="s">
        <v>354</v>
      </c>
      <c r="G36" s="8" t="s">
        <v>334</v>
      </c>
      <c r="H36" s="8">
        <v>0</v>
      </c>
      <c r="I36" s="8" t="s">
        <v>354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</row>
    <row r="37" spans="1:41" x14ac:dyDescent="0.3">
      <c r="A37" s="7">
        <v>12</v>
      </c>
      <c r="B37" s="8" t="s">
        <v>188</v>
      </c>
      <c r="C37" s="8" t="s">
        <v>189</v>
      </c>
      <c r="D37" s="8">
        <v>3</v>
      </c>
      <c r="E37" s="8" t="s">
        <v>339</v>
      </c>
      <c r="F37" s="8" t="s">
        <v>354</v>
      </c>
      <c r="G37" s="8" t="s">
        <v>334</v>
      </c>
      <c r="H37" s="8">
        <v>0</v>
      </c>
      <c r="I37" s="8" t="s">
        <v>354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</row>
    <row r="38" spans="1:41" x14ac:dyDescent="0.3">
      <c r="A38" s="13">
        <v>13</v>
      </c>
      <c r="B38" s="14" t="s">
        <v>190</v>
      </c>
      <c r="C38" s="14" t="s">
        <v>191</v>
      </c>
      <c r="D38" s="14">
        <v>1</v>
      </c>
      <c r="E38" s="14" t="s">
        <v>333</v>
      </c>
      <c r="F38" s="14" t="s">
        <v>354</v>
      </c>
      <c r="G38" s="14" t="s">
        <v>334</v>
      </c>
      <c r="H38" s="14">
        <v>0</v>
      </c>
      <c r="I38" s="14" t="s">
        <v>354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</row>
    <row r="39" spans="1:41" x14ac:dyDescent="0.3">
      <c r="A39" s="13">
        <v>13</v>
      </c>
      <c r="B39" s="14" t="s">
        <v>190</v>
      </c>
      <c r="C39" s="14" t="s">
        <v>191</v>
      </c>
      <c r="D39" s="14">
        <v>2</v>
      </c>
      <c r="E39" s="14" t="s">
        <v>335</v>
      </c>
      <c r="F39" s="14" t="s">
        <v>354</v>
      </c>
      <c r="G39" s="14" t="s">
        <v>334</v>
      </c>
      <c r="H39" s="14">
        <v>0</v>
      </c>
      <c r="I39" s="14" t="s">
        <v>354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</row>
    <row r="40" spans="1:41" x14ac:dyDescent="0.3">
      <c r="A40" s="13">
        <v>13</v>
      </c>
      <c r="B40" s="14" t="s">
        <v>190</v>
      </c>
      <c r="C40" s="14" t="s">
        <v>191</v>
      </c>
      <c r="D40" s="14">
        <v>3</v>
      </c>
      <c r="E40" s="14" t="s">
        <v>339</v>
      </c>
      <c r="F40" s="14" t="s">
        <v>354</v>
      </c>
      <c r="G40" s="14" t="s">
        <v>334</v>
      </c>
      <c r="H40" s="14">
        <v>0</v>
      </c>
      <c r="I40" s="14" t="s">
        <v>354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</row>
    <row r="41" spans="1:41" x14ac:dyDescent="0.3">
      <c r="A41" s="7">
        <v>14</v>
      </c>
      <c r="B41" s="8" t="s">
        <v>192</v>
      </c>
      <c r="C41" s="8" t="s">
        <v>193</v>
      </c>
      <c r="D41" s="8">
        <v>1</v>
      </c>
      <c r="E41" s="8" t="s">
        <v>333</v>
      </c>
      <c r="F41" s="8" t="s">
        <v>354</v>
      </c>
      <c r="G41" s="8" t="s">
        <v>334</v>
      </c>
      <c r="H41" s="8">
        <v>0</v>
      </c>
      <c r="I41" s="8" t="s">
        <v>354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</row>
    <row r="42" spans="1:41" x14ac:dyDescent="0.3">
      <c r="A42" s="7">
        <v>14</v>
      </c>
      <c r="B42" s="8" t="s">
        <v>192</v>
      </c>
      <c r="C42" s="8" t="s">
        <v>193</v>
      </c>
      <c r="D42" s="8">
        <v>2</v>
      </c>
      <c r="E42" s="8" t="s">
        <v>335</v>
      </c>
      <c r="F42" s="8" t="s">
        <v>354</v>
      </c>
      <c r="G42" s="8" t="s">
        <v>334</v>
      </c>
      <c r="H42" s="8">
        <v>0</v>
      </c>
      <c r="I42" s="8" t="s">
        <v>354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</row>
    <row r="43" spans="1:41" x14ac:dyDescent="0.3">
      <c r="A43" s="7">
        <v>14</v>
      </c>
      <c r="B43" s="8" t="s">
        <v>192</v>
      </c>
      <c r="C43" s="8" t="s">
        <v>193</v>
      </c>
      <c r="D43" s="8">
        <v>3</v>
      </c>
      <c r="E43" s="8" t="s">
        <v>339</v>
      </c>
      <c r="F43" s="8" t="s">
        <v>354</v>
      </c>
      <c r="G43" s="8" t="s">
        <v>334</v>
      </c>
      <c r="H43" s="8">
        <v>0</v>
      </c>
      <c r="I43" s="8" t="s">
        <v>354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</row>
    <row r="44" spans="1:41" x14ac:dyDescent="0.3">
      <c r="A44" s="13">
        <v>15</v>
      </c>
      <c r="B44" s="14" t="s">
        <v>410</v>
      </c>
      <c r="C44" s="14" t="s">
        <v>411</v>
      </c>
      <c r="D44" s="14">
        <v>1</v>
      </c>
      <c r="E44" s="14" t="s">
        <v>333</v>
      </c>
      <c r="F44" s="14" t="s">
        <v>354</v>
      </c>
      <c r="G44" s="14" t="s">
        <v>334</v>
      </c>
      <c r="H44" s="14">
        <v>0</v>
      </c>
      <c r="I44" s="14" t="s">
        <v>354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</row>
    <row r="45" spans="1:41" x14ac:dyDescent="0.3">
      <c r="A45" s="13">
        <v>15</v>
      </c>
      <c r="B45" s="14" t="s">
        <v>410</v>
      </c>
      <c r="C45" s="14" t="s">
        <v>411</v>
      </c>
      <c r="D45" s="14">
        <v>2</v>
      </c>
      <c r="E45" s="14" t="s">
        <v>335</v>
      </c>
      <c r="F45" s="14" t="s">
        <v>354</v>
      </c>
      <c r="G45" s="14" t="s">
        <v>334</v>
      </c>
      <c r="H45" s="14">
        <v>0</v>
      </c>
      <c r="I45" s="14" t="s">
        <v>354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</row>
    <row r="46" spans="1:41" x14ac:dyDescent="0.3">
      <c r="A46" s="13">
        <v>15</v>
      </c>
      <c r="B46" s="14" t="s">
        <v>410</v>
      </c>
      <c r="C46" s="14" t="s">
        <v>411</v>
      </c>
      <c r="D46" s="14">
        <v>3</v>
      </c>
      <c r="E46" s="14" t="s">
        <v>339</v>
      </c>
      <c r="F46" s="14" t="s">
        <v>354</v>
      </c>
      <c r="G46" s="14" t="s">
        <v>334</v>
      </c>
      <c r="H46" s="14">
        <v>0</v>
      </c>
      <c r="I46" s="14" t="s">
        <v>354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</row>
    <row r="47" spans="1:41" x14ac:dyDescent="0.3">
      <c r="A47" s="7">
        <v>16</v>
      </c>
      <c r="B47" s="8" t="s">
        <v>196</v>
      </c>
      <c r="C47" s="8" t="s">
        <v>197</v>
      </c>
      <c r="D47" s="8">
        <v>1</v>
      </c>
      <c r="E47" s="8" t="s">
        <v>333</v>
      </c>
      <c r="F47" s="8" t="s">
        <v>354</v>
      </c>
      <c r="G47" s="8" t="s">
        <v>334</v>
      </c>
      <c r="H47" s="8">
        <v>0</v>
      </c>
      <c r="I47" s="8" t="s">
        <v>354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</row>
    <row r="48" spans="1:41" x14ac:dyDescent="0.3">
      <c r="A48" s="7">
        <v>16</v>
      </c>
      <c r="B48" s="8" t="s">
        <v>196</v>
      </c>
      <c r="C48" s="8" t="s">
        <v>197</v>
      </c>
      <c r="D48" s="8">
        <v>2</v>
      </c>
      <c r="E48" s="8" t="s">
        <v>335</v>
      </c>
      <c r="F48" s="8" t="s">
        <v>354</v>
      </c>
      <c r="G48" s="8" t="s">
        <v>334</v>
      </c>
      <c r="H48" s="8">
        <v>0</v>
      </c>
      <c r="I48" s="8" t="s">
        <v>354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</row>
    <row r="49" spans="1:41" x14ac:dyDescent="0.3">
      <c r="A49" s="7">
        <v>16</v>
      </c>
      <c r="B49" s="8" t="s">
        <v>196</v>
      </c>
      <c r="C49" s="8" t="s">
        <v>197</v>
      </c>
      <c r="D49" s="8">
        <v>3</v>
      </c>
      <c r="E49" s="8" t="s">
        <v>339</v>
      </c>
      <c r="F49" s="8" t="s">
        <v>354</v>
      </c>
      <c r="G49" s="8" t="s">
        <v>334</v>
      </c>
      <c r="H49" s="8">
        <v>0</v>
      </c>
      <c r="I49" s="8" t="s">
        <v>354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</row>
    <row r="50" spans="1:41" x14ac:dyDescent="0.3">
      <c r="A50" s="13">
        <v>17</v>
      </c>
      <c r="B50" s="14" t="s">
        <v>198</v>
      </c>
      <c r="C50" s="14" t="s">
        <v>199</v>
      </c>
      <c r="D50" s="14">
        <v>1</v>
      </c>
      <c r="E50" s="14" t="s">
        <v>333</v>
      </c>
      <c r="F50" s="14" t="s">
        <v>354</v>
      </c>
      <c r="G50" s="14" t="s">
        <v>334</v>
      </c>
      <c r="H50" s="14">
        <v>0</v>
      </c>
      <c r="I50" s="14" t="s">
        <v>354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</row>
    <row r="51" spans="1:41" x14ac:dyDescent="0.3">
      <c r="A51" s="13">
        <v>17</v>
      </c>
      <c r="B51" s="14" t="s">
        <v>198</v>
      </c>
      <c r="C51" s="14" t="s">
        <v>199</v>
      </c>
      <c r="D51" s="14">
        <v>2</v>
      </c>
      <c r="E51" s="14" t="s">
        <v>335</v>
      </c>
      <c r="F51" s="14" t="s">
        <v>354</v>
      </c>
      <c r="G51" s="14" t="s">
        <v>334</v>
      </c>
      <c r="H51" s="14">
        <v>0</v>
      </c>
      <c r="I51" s="14" t="s">
        <v>354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</row>
    <row r="52" spans="1:41" x14ac:dyDescent="0.3">
      <c r="A52" s="13">
        <v>17</v>
      </c>
      <c r="B52" s="14" t="s">
        <v>198</v>
      </c>
      <c r="C52" s="14" t="s">
        <v>199</v>
      </c>
      <c r="D52" s="14">
        <v>3</v>
      </c>
      <c r="E52" s="14" t="s">
        <v>339</v>
      </c>
      <c r="F52" s="14" t="s">
        <v>354</v>
      </c>
      <c r="G52" s="14" t="s">
        <v>334</v>
      </c>
      <c r="H52" s="14">
        <v>0</v>
      </c>
      <c r="I52" s="14" t="s">
        <v>354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</row>
    <row r="53" spans="1:41" x14ac:dyDescent="0.3">
      <c r="A53" s="7">
        <v>18</v>
      </c>
      <c r="B53" s="8" t="s">
        <v>200</v>
      </c>
      <c r="C53" s="8" t="s">
        <v>201</v>
      </c>
      <c r="D53" s="8">
        <v>1</v>
      </c>
      <c r="E53" s="8" t="s">
        <v>333</v>
      </c>
      <c r="F53" s="8" t="s">
        <v>354</v>
      </c>
      <c r="G53" s="8" t="s">
        <v>334</v>
      </c>
      <c r="H53" s="8">
        <v>0</v>
      </c>
      <c r="I53" s="8" t="s">
        <v>354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</row>
    <row r="54" spans="1:41" x14ac:dyDescent="0.3">
      <c r="A54" s="7">
        <v>18</v>
      </c>
      <c r="B54" s="8" t="s">
        <v>200</v>
      </c>
      <c r="C54" s="8" t="s">
        <v>201</v>
      </c>
      <c r="D54" s="8">
        <v>2</v>
      </c>
      <c r="E54" s="8" t="s">
        <v>335</v>
      </c>
      <c r="F54" s="8" t="s">
        <v>354</v>
      </c>
      <c r="G54" s="8" t="s">
        <v>334</v>
      </c>
      <c r="H54" s="8">
        <v>0</v>
      </c>
      <c r="I54" s="8" t="s">
        <v>354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</row>
    <row r="55" spans="1:41" x14ac:dyDescent="0.3">
      <c r="A55" s="7">
        <v>18</v>
      </c>
      <c r="B55" s="8" t="s">
        <v>200</v>
      </c>
      <c r="C55" s="8" t="s">
        <v>201</v>
      </c>
      <c r="D55" s="8">
        <v>3</v>
      </c>
      <c r="E55" s="8" t="s">
        <v>339</v>
      </c>
      <c r="F55" s="8" t="s">
        <v>354</v>
      </c>
      <c r="G55" s="8" t="s">
        <v>334</v>
      </c>
      <c r="H55" s="8">
        <v>0</v>
      </c>
      <c r="I55" s="8" t="s">
        <v>354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</row>
    <row r="56" spans="1:41" x14ac:dyDescent="0.3">
      <c r="A56" s="13">
        <v>19</v>
      </c>
      <c r="B56" s="14" t="s">
        <v>202</v>
      </c>
      <c r="C56" s="14" t="s">
        <v>203</v>
      </c>
      <c r="D56" s="14">
        <v>1</v>
      </c>
      <c r="E56" s="14" t="s">
        <v>333</v>
      </c>
      <c r="F56" s="14" t="s">
        <v>354</v>
      </c>
      <c r="G56" s="14" t="s">
        <v>334</v>
      </c>
      <c r="H56" s="14">
        <v>0</v>
      </c>
      <c r="I56" s="14" t="s">
        <v>354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</row>
    <row r="57" spans="1:41" x14ac:dyDescent="0.3">
      <c r="A57" s="13">
        <v>19</v>
      </c>
      <c r="B57" s="14" t="s">
        <v>202</v>
      </c>
      <c r="C57" s="14" t="s">
        <v>203</v>
      </c>
      <c r="D57" s="14">
        <v>2</v>
      </c>
      <c r="E57" s="14" t="s">
        <v>335</v>
      </c>
      <c r="F57" s="14" t="s">
        <v>354</v>
      </c>
      <c r="G57" s="14" t="s">
        <v>334</v>
      </c>
      <c r="H57" s="14">
        <v>0</v>
      </c>
      <c r="I57" s="14" t="s">
        <v>354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</row>
    <row r="58" spans="1:41" x14ac:dyDescent="0.3">
      <c r="A58" s="13">
        <v>19</v>
      </c>
      <c r="B58" s="14" t="s">
        <v>202</v>
      </c>
      <c r="C58" s="14" t="s">
        <v>203</v>
      </c>
      <c r="D58" s="14">
        <v>3</v>
      </c>
      <c r="E58" s="14" t="s">
        <v>339</v>
      </c>
      <c r="F58" s="14" t="s">
        <v>354</v>
      </c>
      <c r="G58" s="14" t="s">
        <v>334</v>
      </c>
      <c r="H58" s="14">
        <v>0</v>
      </c>
      <c r="I58" s="14" t="s">
        <v>354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</row>
    <row r="59" spans="1:41" x14ac:dyDescent="0.3">
      <c r="A59" s="7">
        <v>20</v>
      </c>
      <c r="B59" s="8" t="s">
        <v>412</v>
      </c>
      <c r="C59" s="8" t="s">
        <v>413</v>
      </c>
      <c r="D59" s="8">
        <v>1</v>
      </c>
      <c r="E59" s="8" t="s">
        <v>333</v>
      </c>
      <c r="F59" s="8" t="s">
        <v>354</v>
      </c>
      <c r="G59" s="8" t="s">
        <v>334</v>
      </c>
      <c r="H59" s="8">
        <v>0</v>
      </c>
      <c r="I59" s="8" t="s">
        <v>354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</row>
    <row r="60" spans="1:41" x14ac:dyDescent="0.3">
      <c r="A60" s="7">
        <v>20</v>
      </c>
      <c r="B60" s="8" t="s">
        <v>412</v>
      </c>
      <c r="C60" s="8" t="s">
        <v>413</v>
      </c>
      <c r="D60" s="8">
        <v>2</v>
      </c>
      <c r="E60" s="8" t="s">
        <v>335</v>
      </c>
      <c r="F60" s="8" t="s">
        <v>354</v>
      </c>
      <c r="G60" s="8" t="s">
        <v>334</v>
      </c>
      <c r="H60" s="8">
        <v>0</v>
      </c>
      <c r="I60" s="8" t="s">
        <v>354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</row>
    <row r="61" spans="1:41" x14ac:dyDescent="0.3">
      <c r="A61" s="7">
        <v>20</v>
      </c>
      <c r="B61" s="8" t="s">
        <v>412</v>
      </c>
      <c r="C61" s="8" t="s">
        <v>413</v>
      </c>
      <c r="D61" s="8">
        <v>3</v>
      </c>
      <c r="E61" s="8" t="s">
        <v>339</v>
      </c>
      <c r="F61" s="8" t="s">
        <v>354</v>
      </c>
      <c r="G61" s="8" t="s">
        <v>334</v>
      </c>
      <c r="H61" s="8">
        <v>0</v>
      </c>
      <c r="I61" s="8" t="s">
        <v>354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</row>
    <row r="62" spans="1:41" x14ac:dyDescent="0.3">
      <c r="A62" s="13">
        <v>21</v>
      </c>
      <c r="B62" s="14" t="s">
        <v>206</v>
      </c>
      <c r="C62" s="14" t="s">
        <v>207</v>
      </c>
      <c r="D62" s="14">
        <v>1</v>
      </c>
      <c r="E62" s="14" t="s">
        <v>333</v>
      </c>
      <c r="F62" s="14" t="s">
        <v>354</v>
      </c>
      <c r="G62" s="14" t="s">
        <v>334</v>
      </c>
      <c r="H62" s="14">
        <v>0</v>
      </c>
      <c r="I62" s="14" t="s">
        <v>354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</row>
    <row r="63" spans="1:41" x14ac:dyDescent="0.3">
      <c r="A63" s="13">
        <v>21</v>
      </c>
      <c r="B63" s="14" t="s">
        <v>206</v>
      </c>
      <c r="C63" s="14" t="s">
        <v>207</v>
      </c>
      <c r="D63" s="14">
        <v>2</v>
      </c>
      <c r="E63" s="14" t="s">
        <v>335</v>
      </c>
      <c r="F63" s="14" t="s">
        <v>354</v>
      </c>
      <c r="G63" s="14" t="s">
        <v>334</v>
      </c>
      <c r="H63" s="14">
        <v>0</v>
      </c>
      <c r="I63" s="14" t="s">
        <v>354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</row>
    <row r="64" spans="1:41" x14ac:dyDescent="0.3">
      <c r="A64" s="13">
        <v>21</v>
      </c>
      <c r="B64" s="14" t="s">
        <v>206</v>
      </c>
      <c r="C64" s="14" t="s">
        <v>207</v>
      </c>
      <c r="D64" s="14">
        <v>3</v>
      </c>
      <c r="E64" s="14" t="s">
        <v>339</v>
      </c>
      <c r="F64" s="14" t="s">
        <v>354</v>
      </c>
      <c r="G64" s="14" t="s">
        <v>334</v>
      </c>
      <c r="H64" s="14">
        <v>0</v>
      </c>
      <c r="I64" s="14" t="s">
        <v>354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</row>
    <row r="65" spans="1:41" x14ac:dyDescent="0.3">
      <c r="A65" s="7">
        <v>22</v>
      </c>
      <c r="B65" s="8" t="s">
        <v>208</v>
      </c>
      <c r="C65" s="8" t="s">
        <v>209</v>
      </c>
      <c r="D65" s="8">
        <v>1</v>
      </c>
      <c r="E65" s="8" t="s">
        <v>333</v>
      </c>
      <c r="F65" s="8" t="s">
        <v>354</v>
      </c>
      <c r="G65" s="8" t="s">
        <v>334</v>
      </c>
      <c r="H65" s="8">
        <v>0</v>
      </c>
      <c r="I65" s="8" t="s">
        <v>354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</row>
    <row r="66" spans="1:41" x14ac:dyDescent="0.3">
      <c r="A66" s="7">
        <v>22</v>
      </c>
      <c r="B66" s="8" t="s">
        <v>208</v>
      </c>
      <c r="C66" s="8" t="s">
        <v>209</v>
      </c>
      <c r="D66" s="8">
        <v>2</v>
      </c>
      <c r="E66" s="8" t="s">
        <v>335</v>
      </c>
      <c r="F66" s="8" t="s">
        <v>354</v>
      </c>
      <c r="G66" s="8" t="s">
        <v>334</v>
      </c>
      <c r="H66" s="8">
        <v>0</v>
      </c>
      <c r="I66" s="8" t="s">
        <v>354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</row>
    <row r="67" spans="1:41" x14ac:dyDescent="0.3">
      <c r="A67" s="7">
        <v>22</v>
      </c>
      <c r="B67" s="8" t="s">
        <v>208</v>
      </c>
      <c r="C67" s="8" t="s">
        <v>209</v>
      </c>
      <c r="D67" s="8">
        <v>3</v>
      </c>
      <c r="E67" s="8" t="s">
        <v>339</v>
      </c>
      <c r="F67" s="8" t="s">
        <v>354</v>
      </c>
      <c r="G67" s="8" t="s">
        <v>334</v>
      </c>
      <c r="H67" s="8">
        <v>0</v>
      </c>
      <c r="I67" s="8" t="s">
        <v>354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</row>
    <row r="68" spans="1:41" x14ac:dyDescent="0.3">
      <c r="A68" s="13">
        <v>23</v>
      </c>
      <c r="B68" s="14" t="s">
        <v>210</v>
      </c>
      <c r="C68" s="14" t="s">
        <v>211</v>
      </c>
      <c r="D68" s="14">
        <v>1</v>
      </c>
      <c r="E68" s="14" t="s">
        <v>333</v>
      </c>
      <c r="F68" s="14" t="s">
        <v>354</v>
      </c>
      <c r="G68" s="14" t="s">
        <v>334</v>
      </c>
      <c r="H68" s="14">
        <v>0</v>
      </c>
      <c r="I68" s="14" t="s">
        <v>354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</row>
    <row r="69" spans="1:41" x14ac:dyDescent="0.3">
      <c r="A69" s="13">
        <v>23</v>
      </c>
      <c r="B69" s="14" t="s">
        <v>210</v>
      </c>
      <c r="C69" s="14" t="s">
        <v>211</v>
      </c>
      <c r="D69" s="14">
        <v>2</v>
      </c>
      <c r="E69" s="14" t="s">
        <v>335</v>
      </c>
      <c r="F69" s="14" t="s">
        <v>354</v>
      </c>
      <c r="G69" s="14" t="s">
        <v>334</v>
      </c>
      <c r="H69" s="14">
        <v>0</v>
      </c>
      <c r="I69" s="14" t="s">
        <v>354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</row>
    <row r="70" spans="1:41" x14ac:dyDescent="0.3">
      <c r="A70" s="13">
        <v>23</v>
      </c>
      <c r="B70" s="14" t="s">
        <v>210</v>
      </c>
      <c r="C70" s="14" t="s">
        <v>211</v>
      </c>
      <c r="D70" s="14">
        <v>3</v>
      </c>
      <c r="E70" s="14" t="s">
        <v>339</v>
      </c>
      <c r="F70" s="14" t="s">
        <v>354</v>
      </c>
      <c r="G70" s="14" t="s">
        <v>334</v>
      </c>
      <c r="H70" s="14">
        <v>0</v>
      </c>
      <c r="I70" s="14" t="s">
        <v>354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</row>
    <row r="71" spans="1:41" x14ac:dyDescent="0.3">
      <c r="A71" s="7">
        <v>24</v>
      </c>
      <c r="B71" s="8" t="s">
        <v>212</v>
      </c>
      <c r="C71" s="8" t="s">
        <v>213</v>
      </c>
      <c r="D71" s="8">
        <v>1</v>
      </c>
      <c r="E71" s="8" t="s">
        <v>333</v>
      </c>
      <c r="F71" s="8" t="s">
        <v>354</v>
      </c>
      <c r="G71" s="8" t="s">
        <v>334</v>
      </c>
      <c r="H71" s="8">
        <v>0</v>
      </c>
      <c r="I71" s="8" t="s">
        <v>354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</row>
    <row r="72" spans="1:41" x14ac:dyDescent="0.3">
      <c r="A72" s="7">
        <v>24</v>
      </c>
      <c r="B72" s="8" t="s">
        <v>212</v>
      </c>
      <c r="C72" s="8" t="s">
        <v>213</v>
      </c>
      <c r="D72" s="8">
        <v>2</v>
      </c>
      <c r="E72" s="8" t="s">
        <v>335</v>
      </c>
      <c r="F72" s="8" t="s">
        <v>354</v>
      </c>
      <c r="G72" s="8" t="s">
        <v>334</v>
      </c>
      <c r="H72" s="8">
        <v>0</v>
      </c>
      <c r="I72" s="8" t="s">
        <v>354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</row>
    <row r="73" spans="1:41" x14ac:dyDescent="0.3">
      <c r="A73" s="7">
        <v>24</v>
      </c>
      <c r="B73" s="8" t="s">
        <v>212</v>
      </c>
      <c r="C73" s="8" t="s">
        <v>213</v>
      </c>
      <c r="D73" s="8">
        <v>3</v>
      </c>
      <c r="E73" s="8" t="s">
        <v>339</v>
      </c>
      <c r="F73" s="8" t="s">
        <v>354</v>
      </c>
      <c r="G73" s="8" t="s">
        <v>334</v>
      </c>
      <c r="H73" s="8">
        <v>0</v>
      </c>
      <c r="I73" s="8" t="s">
        <v>354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</row>
    <row r="74" spans="1:41" x14ac:dyDescent="0.3">
      <c r="A74" s="13">
        <v>25</v>
      </c>
      <c r="B74" s="14" t="s">
        <v>414</v>
      </c>
      <c r="C74" s="14" t="s">
        <v>415</v>
      </c>
      <c r="D74" s="14">
        <v>1</v>
      </c>
      <c r="E74" s="14" t="s">
        <v>333</v>
      </c>
      <c r="F74" s="14" t="s">
        <v>354</v>
      </c>
      <c r="G74" s="14" t="s">
        <v>334</v>
      </c>
      <c r="H74" s="14">
        <v>0</v>
      </c>
      <c r="I74" s="14" t="s">
        <v>354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</row>
    <row r="75" spans="1:41" x14ac:dyDescent="0.3">
      <c r="A75" s="13">
        <v>25</v>
      </c>
      <c r="B75" s="14" t="s">
        <v>414</v>
      </c>
      <c r="C75" s="14" t="s">
        <v>415</v>
      </c>
      <c r="D75" s="14">
        <v>2</v>
      </c>
      <c r="E75" s="14" t="s">
        <v>335</v>
      </c>
      <c r="F75" s="14" t="s">
        <v>354</v>
      </c>
      <c r="G75" s="14" t="s">
        <v>334</v>
      </c>
      <c r="H75" s="14">
        <v>0</v>
      </c>
      <c r="I75" s="14" t="s">
        <v>354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</row>
    <row r="76" spans="1:41" x14ac:dyDescent="0.3">
      <c r="A76" s="13">
        <v>25</v>
      </c>
      <c r="B76" s="14" t="s">
        <v>414</v>
      </c>
      <c r="C76" s="14" t="s">
        <v>415</v>
      </c>
      <c r="D76" s="14">
        <v>3</v>
      </c>
      <c r="E76" s="14" t="s">
        <v>339</v>
      </c>
      <c r="F76" s="14" t="s">
        <v>354</v>
      </c>
      <c r="G76" s="14" t="s">
        <v>334</v>
      </c>
      <c r="H76" s="14">
        <v>0</v>
      </c>
      <c r="I76" s="14" t="s">
        <v>354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54DF3F-AACA-409D-8F58-C371BE2F1425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160a8fee-1065-46af-a09f-4bc299cd7729"/>
    <ds:schemaRef ds:uri="dd2a1ab4-0a93-49a3-a811-47bf2ef55b99"/>
  </ds:schemaRefs>
</ds:datastoreItem>
</file>

<file path=customXml/itemProps2.xml><?xml version="1.0" encoding="utf-8"?>
<ds:datastoreItem xmlns:ds="http://schemas.openxmlformats.org/officeDocument/2006/customXml" ds:itemID="{31659E82-2CDF-4589-8FDE-04A6FEB2D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8CABE4-5E0C-4B32-AF42-62A996B5B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Other_Techs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Rodríguez-Arce</dc:creator>
  <cp:keywords/>
  <dc:description/>
  <cp:lastModifiedBy>Ignacio  Alfaro Corrales</cp:lastModifiedBy>
  <cp:revision/>
  <dcterms:created xsi:type="dcterms:W3CDTF">2024-02-20T21:43:29Z</dcterms:created>
  <dcterms:modified xsi:type="dcterms:W3CDTF">2025-10-19T05:35:45Z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d1ec2ac3-8f28-4935-a35e-a70030e2fe16</vt:lpwstr>
  </property>
</Properties>
</file>