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RD_model_NDC_Energy_v4\A2_Extra_Inputs\"/>
    </mc:Choice>
  </mc:AlternateContent>
  <xr:revisionPtr revIDLastSave="0" documentId="13_ncr:1_{183B7999-2656-4BD9-8EFB-A34F3526AA20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GHGs" sheetId="5" r:id="rId1"/>
    <sheet name="Externalities" sheetId="2" r:id="rId2"/>
    <sheet name="Other" sheetId="4" r:id="rId3"/>
  </sheets>
  <definedNames>
    <definedName name="_xlnm._FilterDatabase" localSheetId="0" hidden="1">GHGs!$A$1:$D$82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5" l="1"/>
  <c r="C82" i="5"/>
  <c r="C81" i="5"/>
  <c r="C80" i="5"/>
</calcChain>
</file>

<file path=xl/sharedStrings.xml><?xml version="1.0" encoding="utf-8"?>
<sst xmlns="http://schemas.openxmlformats.org/spreadsheetml/2006/main" count="292" uniqueCount="104">
  <si>
    <t>Tech</t>
  </si>
  <si>
    <t>Emission</t>
  </si>
  <si>
    <t>EmissionActivityRatio</t>
  </si>
  <si>
    <t>DIST_DSL</t>
  </si>
  <si>
    <t>CO2e_sources</t>
  </si>
  <si>
    <t>IPCC Guidelines Vol 2, Chap 2, tables 2.2, 2.3, 2.4  https://www.ipcc-nggip.iges.or.jp/public/2006gl/pdf/2_Volume2/V2_2_Ch2_Stationary_Combustion.pdf</t>
  </si>
  <si>
    <t>DIST_FOI</t>
  </si>
  <si>
    <t>DIST_GSL</t>
  </si>
  <si>
    <t>DIST_LPG</t>
  </si>
  <si>
    <t>DIST_COK</t>
  </si>
  <si>
    <t>DIST_KER</t>
  </si>
  <si>
    <t>DIST_NGS</t>
  </si>
  <si>
    <t>DIST_COA</t>
  </si>
  <si>
    <t>PPBIM</t>
  </si>
  <si>
    <t>CO2e_PP</t>
  </si>
  <si>
    <t>El factor de emisión es de GIZ. (2020). Actualización del Inventario de Gases de Efecto Invernadero para la Subcategoría Industrias de la Energía (1.A.1). Recuperado de 1.%09GIZ_DomRep_Informe-Detallado_web.pdf  (transicionenergetica.do) y el inputActivityRatio se estimó con la generación de los reportes del OCDO</t>
  </si>
  <si>
    <t>PPBGS</t>
  </si>
  <si>
    <t>-</t>
  </si>
  <si>
    <t>PPCOA</t>
  </si>
  <si>
    <t>PPCCTDSL</t>
  </si>
  <si>
    <t>PPCCFOIDSL</t>
  </si>
  <si>
    <t>PPCCTNGS</t>
  </si>
  <si>
    <t>PPCCTNGSDSL</t>
  </si>
  <si>
    <t>PPICEFOI</t>
  </si>
  <si>
    <t>PPICEGASFOI</t>
  </si>
  <si>
    <t>T4DSL_PRI</t>
  </si>
  <si>
    <t>T4GSL_PRI</t>
  </si>
  <si>
    <t>T4LPG_PRI</t>
  </si>
  <si>
    <t>T4GSL_PUB</t>
  </si>
  <si>
    <t>T4LPG_PUB</t>
  </si>
  <si>
    <t>T4DSL_PUB</t>
  </si>
  <si>
    <t>T4DSL_TUR</t>
  </si>
  <si>
    <t>T4GSL_TUR</t>
  </si>
  <si>
    <t>T4LPG_TUR</t>
  </si>
  <si>
    <t>T4DSL_HEA</t>
  </si>
  <si>
    <t>T4GSL_HEA</t>
  </si>
  <si>
    <t>T4LPG_HEA</t>
  </si>
  <si>
    <t>T4DSL_LIG</t>
  </si>
  <si>
    <t>T4GSL_LIG</t>
  </si>
  <si>
    <t>T4NGS_LIG</t>
  </si>
  <si>
    <t>T4LPG_LIG</t>
  </si>
  <si>
    <t>T5DSLCOM</t>
  </si>
  <si>
    <t>CO2e_DE</t>
  </si>
  <si>
    <t>T5GSLCOM</t>
  </si>
  <si>
    <t>T5NGSCOM</t>
  </si>
  <si>
    <t>T5LPGCOM</t>
  </si>
  <si>
    <t>T5ELECOM</t>
  </si>
  <si>
    <t>T5FIRCOM</t>
  </si>
  <si>
    <t>T5DSLIND</t>
  </si>
  <si>
    <t>T5GSLIND</t>
  </si>
  <si>
    <t>T5NGSIND</t>
  </si>
  <si>
    <t>T5LPGIND</t>
  </si>
  <si>
    <t>T5ELEIND</t>
  </si>
  <si>
    <t>T5HYDIND</t>
  </si>
  <si>
    <t>T5COKIND</t>
  </si>
  <si>
    <t>T5BIMIND</t>
  </si>
  <si>
    <t>T5COAIND</t>
  </si>
  <si>
    <t>T5FOIIND</t>
  </si>
  <si>
    <t>T5LPGRES</t>
  </si>
  <si>
    <t>T5ELERES</t>
  </si>
  <si>
    <t>T5KERRES</t>
  </si>
  <si>
    <t>T5FIRRES</t>
  </si>
  <si>
    <t>T5BIMRES</t>
  </si>
  <si>
    <t>T5GSLCON</t>
  </si>
  <si>
    <t>T5LPGCON</t>
  </si>
  <si>
    <t>T5NGSEXP</t>
  </si>
  <si>
    <t>T5KEREXP</t>
  </si>
  <si>
    <t>T5BIMEXP</t>
  </si>
  <si>
    <t>T5DSLTOT</t>
  </si>
  <si>
    <t>T5GSLTOT</t>
  </si>
  <si>
    <t>T5ELETOT</t>
  </si>
  <si>
    <t>T5GSLTAC</t>
  </si>
  <si>
    <t>T5KERTAC</t>
  </si>
  <si>
    <t>T5ELEAGR</t>
  </si>
  <si>
    <t>T5DSLAGR</t>
  </si>
  <si>
    <t>T5LPGAGR</t>
  </si>
  <si>
    <t>External Cost</t>
  </si>
  <si>
    <t>EmissionsPenalty</t>
  </si>
  <si>
    <t>Final Unit</t>
  </si>
  <si>
    <t>Health</t>
  </si>
  <si>
    <t>M US$ / PJ</t>
  </si>
  <si>
    <t>Drop some references here</t>
  </si>
  <si>
    <t>DIST_PCO</t>
  </si>
  <si>
    <t>CO2e_TRN</t>
  </si>
  <si>
    <t>PPADSL</t>
  </si>
  <si>
    <t>PPAFOI</t>
  </si>
  <si>
    <t>PPANGS</t>
  </si>
  <si>
    <t>PPDDSL</t>
  </si>
  <si>
    <t>PPDFOI</t>
  </si>
  <si>
    <t>PPDNGS</t>
  </si>
  <si>
    <t>PPDGSL</t>
  </si>
  <si>
    <t>PPDGLP</t>
  </si>
  <si>
    <t>CO2e_AP</t>
  </si>
  <si>
    <t>PRO_COA</t>
  </si>
  <si>
    <t>CO2e_FUG</t>
  </si>
  <si>
    <t>EXTT_CRU</t>
  </si>
  <si>
    <t>Mton/PJ</t>
  </si>
  <si>
    <t>EXTT_NGS</t>
  </si>
  <si>
    <t>Actualizado con el 2024_NID_RD</t>
  </si>
  <si>
    <t>T5BIMCOM</t>
  </si>
  <si>
    <t>No se usan estas demandas</t>
  </si>
  <si>
    <t>CO2e_CARBONERAS</t>
  </si>
  <si>
    <t>Actualizado con el 2024_NID_RD (nuevo)</t>
  </si>
  <si>
    <t>Calculado en \A2_Extra_Inputs\Calculos_FE_PP.xlsx"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</si>
</sst>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rgb="FFCC009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0" fillId="0" borderId="8" xfId="0" applyBorder="1"/>
    <xf numFmtId="0" fontId="0" fillId="0" borderId="3" xfId="0" applyBorder="1"/>
    <xf numFmtId="0" fontId="0" fillId="0" borderId="2" xfId="0" applyBorder="1"/>
    <xf numFmtId="0" fontId="0" fillId="0" borderId="6" xfId="0" applyBorder="1"/>
    <xf numFmtId="0" fontId="0" fillId="0" borderId="13" xfId="0" applyBorder="1"/>
    <xf numFmtId="0" fontId="0" fillId="0" borderId="14" xfId="0" applyBorder="1"/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3" borderId="2" xfId="0" applyFill="1" applyBorder="1"/>
    <xf numFmtId="0" fontId="0" fillId="3" borderId="1" xfId="0" applyFill="1" applyBorder="1"/>
    <xf numFmtId="0" fontId="0" fillId="3" borderId="3" xfId="0" applyFill="1" applyBorder="1"/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/>
    <xf numFmtId="0" fontId="0" fillId="6" borderId="5" xfId="0" applyFill="1" applyBorder="1"/>
    <xf numFmtId="0" fontId="0" fillId="6" borderId="7" xfId="0" applyFill="1" applyBorder="1"/>
    <xf numFmtId="0" fontId="4" fillId="5" borderId="11" xfId="0" applyFont="1" applyFill="1" applyBorder="1"/>
    <xf numFmtId="0" fontId="4" fillId="0" borderId="21" xfId="0" applyFont="1" applyBorder="1"/>
    <xf numFmtId="0" fontId="4" fillId="0" borderId="22" xfId="0" applyFont="1" applyBorder="1"/>
    <xf numFmtId="0" fontId="0" fillId="6" borderId="16" xfId="0" applyFill="1" applyBorder="1"/>
    <xf numFmtId="0" fontId="0" fillId="0" borderId="5" xfId="0" applyBorder="1"/>
    <xf numFmtId="0" fontId="0" fillId="6" borderId="23" xfId="0" applyFill="1" applyBorder="1"/>
    <xf numFmtId="0" fontId="0" fillId="0" borderId="7" xfId="0" applyBorder="1"/>
    <xf numFmtId="0" fontId="0" fillId="6" borderId="24" xfId="0" applyFill="1" applyBorder="1"/>
    <xf numFmtId="0" fontId="0" fillId="0" borderId="12" xfId="0" applyBorder="1"/>
    <xf numFmtId="0" fontId="4" fillId="5" borderId="16" xfId="0" applyFont="1" applyFill="1" applyBorder="1"/>
    <xf numFmtId="0" fontId="4" fillId="5" borderId="23" xfId="0" applyFont="1" applyFill="1" applyBorder="1"/>
    <xf numFmtId="0" fontId="4" fillId="5" borderId="25" xfId="0" applyFont="1" applyFill="1" applyBorder="1"/>
    <xf numFmtId="0" fontId="4" fillId="5" borderId="27" xfId="0" applyFont="1" applyFill="1" applyBorder="1"/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5" borderId="17" xfId="0" applyFont="1" applyFill="1" applyBorder="1"/>
    <xf numFmtId="0" fontId="4" fillId="0" borderId="26" xfId="0" applyFont="1" applyBorder="1"/>
    <xf numFmtId="0" fontId="4" fillId="0" borderId="28" xfId="0" applyFont="1" applyBorder="1"/>
    <xf numFmtId="0" fontId="0" fillId="4" borderId="8" xfId="0" applyFill="1" applyBorder="1"/>
    <xf numFmtId="0" fontId="0" fillId="0" borderId="7" xfId="0" applyBorder="1" applyAlignment="1">
      <alignment horizontal="left"/>
    </xf>
    <xf numFmtId="164" fontId="5" fillId="7" borderId="6" xfId="0" applyNumberFormat="1" applyFont="1" applyFill="1" applyBorder="1"/>
    <xf numFmtId="0" fontId="5" fillId="7" borderId="8" xfId="0" applyFont="1" applyFill="1" applyBorder="1"/>
    <xf numFmtId="0" fontId="0" fillId="6" borderId="12" xfId="0" applyFill="1" applyBorder="1"/>
    <xf numFmtId="0" fontId="6" fillId="6" borderId="12" xfId="0" applyFont="1" applyFill="1" applyBorder="1"/>
    <xf numFmtId="0" fontId="6" fillId="0" borderId="13" xfId="0" applyFont="1" applyBorder="1"/>
    <xf numFmtId="0" fontId="6" fillId="6" borderId="9" xfId="0" applyFont="1" applyFill="1" applyBorder="1"/>
    <xf numFmtId="0" fontId="6" fillId="0" borderId="3" xfId="0" applyFont="1" applyBorder="1"/>
    <xf numFmtId="0" fontId="6" fillId="0" borderId="1" xfId="0" applyFont="1" applyBorder="1"/>
    <xf numFmtId="0" fontId="6" fillId="6" borderId="7" xfId="0" applyFont="1" applyFill="1" applyBorder="1"/>
    <xf numFmtId="0" fontId="2" fillId="0" borderId="0" xfId="0" applyFont="1"/>
    <xf numFmtId="0" fontId="0" fillId="3" borderId="17" xfId="0" applyFill="1" applyBorder="1"/>
    <xf numFmtId="0" fontId="0" fillId="4" borderId="0" xfId="0" applyFill="1"/>
    <xf numFmtId="0" fontId="0" fillId="4" borderId="1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7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10" xfId="0" applyFill="1" applyBorder="1"/>
    <xf numFmtId="0" fontId="0" fillId="8" borderId="1" xfId="0" applyFill="1" applyBorder="1"/>
    <xf numFmtId="0" fontId="0" fillId="3" borderId="19" xfId="0" applyFill="1" applyBorder="1"/>
    <xf numFmtId="0" fontId="0" fillId="4" borderId="15" xfId="0" applyFill="1" applyBorder="1" applyAlignment="1">
      <alignment horizontal="left"/>
    </xf>
    <xf numFmtId="0" fontId="0" fillId="4" borderId="29" xfId="0" applyFill="1" applyBorder="1"/>
    <xf numFmtId="0" fontId="3" fillId="0" borderId="8" xfId="0" applyFont="1" applyBorder="1"/>
    <xf numFmtId="0" fontId="3" fillId="4" borderId="8" xfId="0" applyFont="1" applyFill="1" applyBorder="1"/>
    <xf numFmtId="0" fontId="0" fillId="8" borderId="0" xfId="0" applyFill="1"/>
    <xf numFmtId="0" fontId="6" fillId="4" borderId="14" xfId="0" applyFont="1" applyFill="1" applyBorder="1"/>
    <xf numFmtId="0" fontId="6" fillId="4" borderId="8" xfId="0" applyFont="1" applyFill="1" applyBorder="1"/>
    <xf numFmtId="0" fontId="6" fillId="4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7801-7622-4678-B5AA-8A831B72E127}">
  <dimension ref="A1:D83"/>
  <sheetViews>
    <sheetView tabSelected="1" zoomScale="115" zoomScaleNormal="115" workbookViewId="0">
      <pane ySplit="1" topLeftCell="A10" activePane="bottomLeft" state="frozen"/>
      <selection pane="bottomLeft" activeCell="C21" sqref="C21"/>
    </sheetView>
  </sheetViews>
  <sheetFormatPr defaultColWidth="9.109375" defaultRowHeight="14.4" x14ac:dyDescent="0.3"/>
  <cols>
    <col min="1" max="1" width="25.6640625" style="17" customWidth="1"/>
    <col min="2" max="2" width="29.109375" customWidth="1"/>
    <col min="3" max="3" width="44" customWidth="1"/>
    <col min="4" max="4" width="35.21875" customWidth="1"/>
  </cols>
  <sheetData>
    <row r="1" spans="1:4" ht="15" thickBot="1" x14ac:dyDescent="0.35">
      <c r="A1" s="34" t="s">
        <v>0</v>
      </c>
      <c r="B1" s="35" t="s">
        <v>1</v>
      </c>
      <c r="C1" s="36" t="s">
        <v>2</v>
      </c>
    </row>
    <row r="2" spans="1:4" x14ac:dyDescent="0.3">
      <c r="A2" s="13" t="s">
        <v>3</v>
      </c>
      <c r="B2" s="4" t="s">
        <v>4</v>
      </c>
      <c r="C2" s="42">
        <v>7.4353799999999998E-2</v>
      </c>
      <c r="D2" t="s">
        <v>5</v>
      </c>
    </row>
    <row r="3" spans="1:4" x14ac:dyDescent="0.3">
      <c r="A3" s="14" t="s">
        <v>6</v>
      </c>
      <c r="B3" s="1" t="s">
        <v>4</v>
      </c>
      <c r="C3" s="2">
        <v>7.7399999999999997E-2</v>
      </c>
      <c r="D3" t="s">
        <v>5</v>
      </c>
    </row>
    <row r="4" spans="1:4" x14ac:dyDescent="0.3">
      <c r="A4" s="14" t="s">
        <v>7</v>
      </c>
      <c r="B4" s="1" t="s">
        <v>4</v>
      </c>
      <c r="C4" s="43">
        <v>6.9553799999999999E-2</v>
      </c>
      <c r="D4" t="s">
        <v>5</v>
      </c>
    </row>
    <row r="5" spans="1:4" x14ac:dyDescent="0.3">
      <c r="A5" s="14" t="s">
        <v>8</v>
      </c>
      <c r="B5" s="1" t="s">
        <v>4</v>
      </c>
      <c r="C5" s="2">
        <v>6.3100000000000003E-2</v>
      </c>
      <c r="D5" t="s">
        <v>5</v>
      </c>
    </row>
    <row r="6" spans="1:4" x14ac:dyDescent="0.3">
      <c r="A6" s="15" t="s">
        <v>9</v>
      </c>
      <c r="B6" s="1" t="s">
        <v>4</v>
      </c>
      <c r="C6" s="7">
        <v>9.7500000000000003E-2</v>
      </c>
      <c r="D6" t="s">
        <v>5</v>
      </c>
    </row>
    <row r="7" spans="1:4" x14ac:dyDescent="0.3">
      <c r="A7" s="15" t="s">
        <v>10</v>
      </c>
      <c r="B7" s="1" t="s">
        <v>4</v>
      </c>
      <c r="C7" s="7">
        <v>7.1900000000000006E-2</v>
      </c>
      <c r="D7" t="s">
        <v>5</v>
      </c>
    </row>
    <row r="8" spans="1:4" x14ac:dyDescent="0.3">
      <c r="A8" s="15" t="s">
        <v>11</v>
      </c>
      <c r="B8" s="1" t="s">
        <v>4</v>
      </c>
      <c r="C8" s="7">
        <v>5.6099999999999997E-2</v>
      </c>
      <c r="D8" t="s">
        <v>5</v>
      </c>
    </row>
    <row r="9" spans="1:4" ht="15" thickBot="1" x14ac:dyDescent="0.35">
      <c r="A9" s="16" t="s">
        <v>12</v>
      </c>
      <c r="B9" s="3" t="s">
        <v>4</v>
      </c>
      <c r="C9" s="7">
        <v>9.4600000000000004E-2</v>
      </c>
      <c r="D9" t="s">
        <v>5</v>
      </c>
    </row>
    <row r="10" spans="1:4" x14ac:dyDescent="0.3">
      <c r="A10" s="19" t="s">
        <v>13</v>
      </c>
      <c r="B10" s="4" t="s">
        <v>14</v>
      </c>
      <c r="C10" s="5">
        <v>0</v>
      </c>
      <c r="D10" t="s">
        <v>15</v>
      </c>
    </row>
    <row r="11" spans="1:4" x14ac:dyDescent="0.3">
      <c r="A11" s="20" t="s">
        <v>16</v>
      </c>
      <c r="B11" s="1" t="s">
        <v>14</v>
      </c>
      <c r="C11" s="64">
        <v>0</v>
      </c>
      <c r="D11" t="s">
        <v>17</v>
      </c>
    </row>
    <row r="12" spans="1:4" x14ac:dyDescent="0.3">
      <c r="A12" s="20" t="s">
        <v>18</v>
      </c>
      <c r="B12" s="1" t="s">
        <v>14</v>
      </c>
      <c r="C12" s="65">
        <v>0.35569600000000001</v>
      </c>
      <c r="D12" s="66" t="s">
        <v>103</v>
      </c>
    </row>
    <row r="13" spans="1:4" x14ac:dyDescent="0.3">
      <c r="A13" s="20" t="s">
        <v>19</v>
      </c>
      <c r="B13" s="1" t="s">
        <v>14</v>
      </c>
      <c r="C13" s="65">
        <v>0.17666665200000004</v>
      </c>
      <c r="D13" s="66" t="s">
        <v>103</v>
      </c>
    </row>
    <row r="14" spans="1:4" x14ac:dyDescent="0.3">
      <c r="A14" s="20" t="s">
        <v>21</v>
      </c>
      <c r="B14" s="1" t="s">
        <v>14</v>
      </c>
      <c r="C14" s="65">
        <v>0.13744500000000001</v>
      </c>
      <c r="D14" s="66" t="s">
        <v>103</v>
      </c>
    </row>
    <row r="15" spans="1:4" x14ac:dyDescent="0.3">
      <c r="A15" s="20" t="s">
        <v>22</v>
      </c>
      <c r="B15" s="1" t="s">
        <v>14</v>
      </c>
      <c r="C15" s="65">
        <v>0.13744500000000001</v>
      </c>
      <c r="D15" s="66" t="s">
        <v>103</v>
      </c>
    </row>
    <row r="16" spans="1:4" x14ac:dyDescent="0.3">
      <c r="A16" s="20" t="s">
        <v>20</v>
      </c>
      <c r="B16" s="1" t="s">
        <v>14</v>
      </c>
      <c r="C16" s="65">
        <v>0</v>
      </c>
      <c r="D16" s="66" t="s">
        <v>103</v>
      </c>
    </row>
    <row r="17" spans="1:4" x14ac:dyDescent="0.3">
      <c r="A17" s="20" t="s">
        <v>23</v>
      </c>
      <c r="B17" s="1" t="s">
        <v>14</v>
      </c>
      <c r="C17" s="65">
        <v>0.126162</v>
      </c>
      <c r="D17" s="66" t="s">
        <v>103</v>
      </c>
    </row>
    <row r="18" spans="1:4" x14ac:dyDescent="0.3">
      <c r="A18" s="44" t="s">
        <v>24</v>
      </c>
      <c r="B18" s="6" t="s">
        <v>14</v>
      </c>
      <c r="C18" s="65">
        <v>0.13744500000000001</v>
      </c>
      <c r="D18" s="66" t="s">
        <v>103</v>
      </c>
    </row>
    <row r="19" spans="1:4" x14ac:dyDescent="0.3">
      <c r="A19" s="45" t="s">
        <v>84</v>
      </c>
      <c r="B19" s="46" t="s">
        <v>14</v>
      </c>
      <c r="C19" s="67">
        <v>0.21934371</v>
      </c>
      <c r="D19" s="66" t="s">
        <v>103</v>
      </c>
    </row>
    <row r="20" spans="1:4" x14ac:dyDescent="0.3">
      <c r="A20" s="45" t="s">
        <v>85</v>
      </c>
      <c r="B20" s="46" t="s">
        <v>14</v>
      </c>
      <c r="C20" s="67">
        <v>0.22833000000000001</v>
      </c>
      <c r="D20" s="66" t="s">
        <v>103</v>
      </c>
    </row>
    <row r="21" spans="1:4" x14ac:dyDescent="0.3">
      <c r="A21" s="45" t="s">
        <v>86</v>
      </c>
      <c r="B21" s="46" t="s">
        <v>14</v>
      </c>
      <c r="C21" s="67">
        <v>0.138567</v>
      </c>
      <c r="D21" s="66" t="s">
        <v>103</v>
      </c>
    </row>
    <row r="22" spans="1:4" x14ac:dyDescent="0.3">
      <c r="A22" s="50" t="s">
        <v>87</v>
      </c>
      <c r="B22" s="49" t="s">
        <v>92</v>
      </c>
      <c r="C22" s="68">
        <v>0.27064783199999998</v>
      </c>
      <c r="D22" s="66" t="s">
        <v>103</v>
      </c>
    </row>
    <row r="23" spans="1:4" x14ac:dyDescent="0.3">
      <c r="A23" s="50" t="s">
        <v>88</v>
      </c>
      <c r="B23" s="49" t="s">
        <v>92</v>
      </c>
      <c r="C23" s="68">
        <v>0.28173599999999999</v>
      </c>
      <c r="D23" s="66" t="s">
        <v>103</v>
      </c>
    </row>
    <row r="24" spans="1:4" x14ac:dyDescent="0.3">
      <c r="A24" s="50" t="s">
        <v>89</v>
      </c>
      <c r="B24" s="49" t="s">
        <v>92</v>
      </c>
      <c r="C24" s="68">
        <v>0.3023856832763292</v>
      </c>
      <c r="D24" s="66" t="s">
        <v>103</v>
      </c>
    </row>
    <row r="25" spans="1:4" x14ac:dyDescent="0.3">
      <c r="A25" s="50" t="s">
        <v>90</v>
      </c>
      <c r="B25" s="49" t="s">
        <v>92</v>
      </c>
      <c r="C25" s="68">
        <v>0.33121269538137577</v>
      </c>
      <c r="D25" s="66" t="s">
        <v>103</v>
      </c>
    </row>
    <row r="26" spans="1:4" ht="15" thickBot="1" x14ac:dyDescent="0.35">
      <c r="A26" s="47" t="s">
        <v>91</v>
      </c>
      <c r="B26" s="48" t="s">
        <v>92</v>
      </c>
      <c r="C26" s="69">
        <v>0.27769303359261088</v>
      </c>
      <c r="D26" s="66" t="s">
        <v>103</v>
      </c>
    </row>
    <row r="27" spans="1:4" x14ac:dyDescent="0.3">
      <c r="A27" s="21" t="s">
        <v>25</v>
      </c>
      <c r="B27" s="22" t="s">
        <v>83</v>
      </c>
      <c r="C27" s="23">
        <v>7.4353800000000012E-2</v>
      </c>
    </row>
    <row r="28" spans="1:4" x14ac:dyDescent="0.3">
      <c r="A28" s="21" t="s">
        <v>26</v>
      </c>
      <c r="B28" s="22" t="s">
        <v>83</v>
      </c>
      <c r="C28" s="23">
        <v>6.9553800000000013E-2</v>
      </c>
    </row>
    <row r="29" spans="1:4" x14ac:dyDescent="0.3">
      <c r="A29" s="21" t="s">
        <v>27</v>
      </c>
      <c r="B29" s="22" t="s">
        <v>83</v>
      </c>
      <c r="C29" s="23">
        <v>6.3154799999999997E-2</v>
      </c>
    </row>
    <row r="30" spans="1:4" x14ac:dyDescent="0.3">
      <c r="A30" s="21" t="s">
        <v>28</v>
      </c>
      <c r="B30" s="22" t="s">
        <v>83</v>
      </c>
      <c r="C30" s="23">
        <v>6.9553800000000013E-2</v>
      </c>
    </row>
    <row r="31" spans="1:4" x14ac:dyDescent="0.3">
      <c r="A31" s="21" t="s">
        <v>29</v>
      </c>
      <c r="B31" s="22" t="s">
        <v>83</v>
      </c>
      <c r="C31" s="23">
        <v>6.3154799999999997E-2</v>
      </c>
    </row>
    <row r="32" spans="1:4" x14ac:dyDescent="0.3">
      <c r="A32" s="21" t="s">
        <v>30</v>
      </c>
      <c r="B32" s="22" t="s">
        <v>83</v>
      </c>
      <c r="C32" s="23">
        <v>7.4353800000000012E-2</v>
      </c>
    </row>
    <row r="33" spans="1:4" x14ac:dyDescent="0.3">
      <c r="A33" s="21" t="s">
        <v>31</v>
      </c>
      <c r="B33" s="22" t="s">
        <v>83</v>
      </c>
      <c r="C33" s="23">
        <v>7.4353800000000012E-2</v>
      </c>
    </row>
    <row r="34" spans="1:4" x14ac:dyDescent="0.3">
      <c r="A34" s="21" t="s">
        <v>32</v>
      </c>
      <c r="B34" s="22" t="s">
        <v>83</v>
      </c>
      <c r="C34" s="23">
        <v>6.9553800000000013E-2</v>
      </c>
    </row>
    <row r="35" spans="1:4" x14ac:dyDescent="0.3">
      <c r="A35" s="21" t="s">
        <v>33</v>
      </c>
      <c r="B35" s="22" t="s">
        <v>83</v>
      </c>
      <c r="C35" s="23">
        <v>6.3154799999999997E-2</v>
      </c>
    </row>
    <row r="36" spans="1:4" x14ac:dyDescent="0.3">
      <c r="A36" s="21" t="s">
        <v>34</v>
      </c>
      <c r="B36" s="22" t="s">
        <v>83</v>
      </c>
      <c r="C36" s="23">
        <v>7.4353800000000012E-2</v>
      </c>
    </row>
    <row r="37" spans="1:4" x14ac:dyDescent="0.3">
      <c r="A37" s="21" t="s">
        <v>35</v>
      </c>
      <c r="B37" s="22" t="s">
        <v>83</v>
      </c>
      <c r="C37" s="23">
        <v>6.9553800000000013E-2</v>
      </c>
    </row>
    <row r="38" spans="1:4" x14ac:dyDescent="0.3">
      <c r="A38" s="21" t="s">
        <v>36</v>
      </c>
      <c r="B38" s="22" t="s">
        <v>83</v>
      </c>
      <c r="C38" s="23">
        <v>6.3154799999999997E-2</v>
      </c>
    </row>
    <row r="39" spans="1:4" x14ac:dyDescent="0.3">
      <c r="A39" s="21" t="s">
        <v>37</v>
      </c>
      <c r="B39" s="22" t="s">
        <v>83</v>
      </c>
      <c r="C39" s="23">
        <v>7.4353800000000012E-2</v>
      </c>
    </row>
    <row r="40" spans="1:4" x14ac:dyDescent="0.3">
      <c r="A40" s="21" t="s">
        <v>38</v>
      </c>
      <c r="B40" s="22" t="s">
        <v>83</v>
      </c>
      <c r="C40" s="23">
        <v>6.9553800000000013E-2</v>
      </c>
    </row>
    <row r="41" spans="1:4" x14ac:dyDescent="0.3">
      <c r="A41" s="21" t="s">
        <v>39</v>
      </c>
      <c r="B41" s="22" t="s">
        <v>83</v>
      </c>
      <c r="C41" s="23">
        <v>5.6154799999999998E-2</v>
      </c>
    </row>
    <row r="42" spans="1:4" ht="15" thickBot="1" x14ac:dyDescent="0.35">
      <c r="A42" s="37" t="s">
        <v>40</v>
      </c>
      <c r="B42" s="38" t="s">
        <v>83</v>
      </c>
      <c r="C42" s="39">
        <v>6.3154799999999997E-2</v>
      </c>
    </row>
    <row r="43" spans="1:4" x14ac:dyDescent="0.3">
      <c r="A43" s="25" t="s">
        <v>41</v>
      </c>
      <c r="B43" s="10" t="s">
        <v>42</v>
      </c>
      <c r="C43" s="55">
        <v>7.4539000000000008E-2</v>
      </c>
      <c r="D43" s="53" t="s">
        <v>98</v>
      </c>
    </row>
    <row r="44" spans="1:4" x14ac:dyDescent="0.3">
      <c r="A44" s="27" t="s">
        <v>43</v>
      </c>
      <c r="B44" s="11" t="s">
        <v>42</v>
      </c>
      <c r="C44" s="40">
        <v>6.9739000000000009E-2</v>
      </c>
      <c r="D44" s="53" t="s">
        <v>98</v>
      </c>
    </row>
    <row r="45" spans="1:4" x14ac:dyDescent="0.3">
      <c r="A45" s="27" t="s">
        <v>44</v>
      </c>
      <c r="B45" s="11" t="s">
        <v>42</v>
      </c>
      <c r="C45" s="40">
        <v>6.4639000000000002E-2</v>
      </c>
      <c r="D45" s="53" t="s">
        <v>98</v>
      </c>
    </row>
    <row r="46" spans="1:4" x14ac:dyDescent="0.3">
      <c r="A46" s="27" t="s">
        <v>45</v>
      </c>
      <c r="B46" s="11" t="s">
        <v>42</v>
      </c>
      <c r="C46" s="40">
        <v>6.3266500000000003E-2</v>
      </c>
      <c r="D46" s="53" t="s">
        <v>98</v>
      </c>
    </row>
    <row r="47" spans="1:4" x14ac:dyDescent="0.3">
      <c r="A47" s="27" t="s">
        <v>46</v>
      </c>
      <c r="B47" s="11" t="s">
        <v>42</v>
      </c>
      <c r="C47" s="40">
        <v>0</v>
      </c>
      <c r="D47" s="53" t="s">
        <v>98</v>
      </c>
    </row>
    <row r="48" spans="1:4" x14ac:dyDescent="0.3">
      <c r="A48" s="27" t="s">
        <v>47</v>
      </c>
      <c r="B48" s="11" t="s">
        <v>42</v>
      </c>
      <c r="C48" s="54">
        <v>9.4600000000000014E-3</v>
      </c>
      <c r="D48" s="53" t="s">
        <v>98</v>
      </c>
    </row>
    <row r="49" spans="1:4" x14ac:dyDescent="0.3">
      <c r="A49" s="56" t="s">
        <v>99</v>
      </c>
      <c r="B49" s="11" t="s">
        <v>42</v>
      </c>
      <c r="C49" s="54">
        <v>5.8650000000000004E-3</v>
      </c>
      <c r="D49" s="53" t="s">
        <v>98</v>
      </c>
    </row>
    <row r="50" spans="1:4" x14ac:dyDescent="0.3">
      <c r="A50" s="56" t="s">
        <v>99</v>
      </c>
      <c r="B50" s="60" t="s">
        <v>101</v>
      </c>
      <c r="C50" s="54">
        <v>3.4735032481966813E-3</v>
      </c>
      <c r="D50" s="53" t="s">
        <v>102</v>
      </c>
    </row>
    <row r="51" spans="1:4" x14ac:dyDescent="0.3">
      <c r="A51" s="27" t="s">
        <v>48</v>
      </c>
      <c r="B51" s="11" t="s">
        <v>42</v>
      </c>
      <c r="C51" s="40">
        <v>7.4343000000000006E-2</v>
      </c>
      <c r="D51" s="53" t="s">
        <v>98</v>
      </c>
    </row>
    <row r="52" spans="1:4" x14ac:dyDescent="0.3">
      <c r="A52" s="27" t="s">
        <v>49</v>
      </c>
      <c r="B52" s="11" t="s">
        <v>42</v>
      </c>
      <c r="C52" s="40">
        <v>6.9543000000000008E-2</v>
      </c>
      <c r="D52" s="53" t="s">
        <v>98</v>
      </c>
    </row>
    <row r="53" spans="1:4" x14ac:dyDescent="0.3">
      <c r="A53" s="27" t="s">
        <v>50</v>
      </c>
      <c r="B53" s="11" t="s">
        <v>42</v>
      </c>
      <c r="C53" s="40">
        <v>5.6154499999999996E-2</v>
      </c>
      <c r="D53" s="53" t="s">
        <v>98</v>
      </c>
    </row>
    <row r="54" spans="1:4" x14ac:dyDescent="0.3">
      <c r="A54" s="27" t="s">
        <v>51</v>
      </c>
      <c r="B54" s="11" t="s">
        <v>42</v>
      </c>
      <c r="C54" s="40">
        <v>6.3154500000000002E-2</v>
      </c>
      <c r="D54" s="53" t="s">
        <v>98</v>
      </c>
    </row>
    <row r="55" spans="1:4" x14ac:dyDescent="0.3">
      <c r="A55" s="27" t="s">
        <v>52</v>
      </c>
      <c r="B55" s="11" t="s">
        <v>42</v>
      </c>
      <c r="C55" s="40">
        <v>0</v>
      </c>
      <c r="D55" s="53" t="s">
        <v>98</v>
      </c>
    </row>
    <row r="56" spans="1:4" x14ac:dyDescent="0.3">
      <c r="A56" s="27" t="s">
        <v>53</v>
      </c>
      <c r="B56" s="11" t="s">
        <v>42</v>
      </c>
      <c r="C56" s="40">
        <v>0</v>
      </c>
      <c r="D56" s="53" t="s">
        <v>98</v>
      </c>
    </row>
    <row r="57" spans="1:4" x14ac:dyDescent="0.3">
      <c r="A57" s="27" t="s">
        <v>54</v>
      </c>
      <c r="B57" s="11" t="s">
        <v>42</v>
      </c>
      <c r="C57" s="40">
        <v>9.7742999999999997E-2</v>
      </c>
      <c r="D57" s="53" t="s">
        <v>98</v>
      </c>
    </row>
    <row r="58" spans="1:4" x14ac:dyDescent="0.3">
      <c r="A58" s="27" t="s">
        <v>55</v>
      </c>
      <c r="B58" s="11" t="s">
        <v>42</v>
      </c>
      <c r="C58" s="40">
        <v>1.9E-3</v>
      </c>
      <c r="D58" s="53" t="s">
        <v>98</v>
      </c>
    </row>
    <row r="59" spans="1:4" x14ac:dyDescent="0.3">
      <c r="A59" s="27" t="s">
        <v>56</v>
      </c>
      <c r="B59" s="11" t="s">
        <v>42</v>
      </c>
      <c r="C59" s="40">
        <v>9.5277500000000001E-2</v>
      </c>
      <c r="D59" s="53" t="s">
        <v>98</v>
      </c>
    </row>
    <row r="60" spans="1:4" x14ac:dyDescent="0.3">
      <c r="A60" s="27" t="s">
        <v>57</v>
      </c>
      <c r="B60" s="11" t="s">
        <v>42</v>
      </c>
      <c r="C60" s="40">
        <v>7.7643000000000004E-2</v>
      </c>
      <c r="D60" s="53" t="s">
        <v>98</v>
      </c>
    </row>
    <row r="61" spans="1:4" x14ac:dyDescent="0.3">
      <c r="A61" s="27" t="s">
        <v>58</v>
      </c>
      <c r="B61" s="11" t="s">
        <v>42</v>
      </c>
      <c r="C61" s="40">
        <v>6.3266500000000003E-2</v>
      </c>
      <c r="D61" s="53" t="s">
        <v>98</v>
      </c>
    </row>
    <row r="62" spans="1:4" x14ac:dyDescent="0.3">
      <c r="A62" s="27" t="s">
        <v>59</v>
      </c>
      <c r="B62" s="11" t="s">
        <v>42</v>
      </c>
      <c r="C62" s="40">
        <v>0</v>
      </c>
      <c r="D62" s="53" t="s">
        <v>98</v>
      </c>
    </row>
    <row r="63" spans="1:4" x14ac:dyDescent="0.3">
      <c r="A63" s="27" t="s">
        <v>60</v>
      </c>
      <c r="B63" s="11" t="s">
        <v>42</v>
      </c>
      <c r="C63" s="40">
        <v>7.2339000000000001E-2</v>
      </c>
      <c r="D63" s="53" t="s">
        <v>98</v>
      </c>
    </row>
    <row r="64" spans="1:4" x14ac:dyDescent="0.3">
      <c r="A64" s="27" t="s">
        <v>61</v>
      </c>
      <c r="B64" s="11" t="s">
        <v>42</v>
      </c>
      <c r="C64" s="54">
        <v>9.4600000000000014E-3</v>
      </c>
      <c r="D64" s="53" t="s">
        <v>98</v>
      </c>
    </row>
    <row r="65" spans="1:4" x14ac:dyDescent="0.3">
      <c r="A65" s="27" t="s">
        <v>62</v>
      </c>
      <c r="B65" s="11" t="s">
        <v>42</v>
      </c>
      <c r="C65" s="40">
        <v>5.8650000000000004E-3</v>
      </c>
      <c r="D65" s="53" t="s">
        <v>98</v>
      </c>
    </row>
    <row r="66" spans="1:4" x14ac:dyDescent="0.3">
      <c r="A66" s="27" t="s">
        <v>62</v>
      </c>
      <c r="B66" s="60" t="s">
        <v>101</v>
      </c>
      <c r="C66" s="40">
        <v>3.4735032481966813E-3</v>
      </c>
      <c r="D66" s="53" t="s">
        <v>102</v>
      </c>
    </row>
    <row r="67" spans="1:4" x14ac:dyDescent="0.3">
      <c r="A67" s="27" t="s">
        <v>63</v>
      </c>
      <c r="B67" s="11" t="s">
        <v>42</v>
      </c>
      <c r="C67" s="40">
        <v>6.9739000000000009E-2</v>
      </c>
      <c r="D67" s="53" t="s">
        <v>98</v>
      </c>
    </row>
    <row r="68" spans="1:4" x14ac:dyDescent="0.3">
      <c r="A68" s="27" t="s">
        <v>64</v>
      </c>
      <c r="B68" s="11" t="s">
        <v>42</v>
      </c>
      <c r="C68" s="40">
        <v>6.3266500000000003E-2</v>
      </c>
      <c r="D68" s="53" t="s">
        <v>98</v>
      </c>
    </row>
    <row r="69" spans="1:4" x14ac:dyDescent="0.3">
      <c r="A69" s="27" t="s">
        <v>65</v>
      </c>
      <c r="B69" s="11" t="s">
        <v>42</v>
      </c>
      <c r="C69" s="2">
        <v>5.6099999999999997E-2</v>
      </c>
    </row>
    <row r="70" spans="1:4" x14ac:dyDescent="0.3">
      <c r="A70" s="27" t="s">
        <v>66</v>
      </c>
      <c r="B70" s="11" t="s">
        <v>42</v>
      </c>
      <c r="C70" s="2">
        <v>7.1900000000000006E-2</v>
      </c>
    </row>
    <row r="71" spans="1:4" x14ac:dyDescent="0.3">
      <c r="A71" s="27" t="s">
        <v>67</v>
      </c>
      <c r="B71" s="11" t="s">
        <v>42</v>
      </c>
      <c r="C71" s="2">
        <v>0</v>
      </c>
    </row>
    <row r="72" spans="1:4" x14ac:dyDescent="0.3">
      <c r="A72" s="41" t="s">
        <v>68</v>
      </c>
      <c r="B72" s="11" t="s">
        <v>42</v>
      </c>
      <c r="C72" s="2">
        <v>7.4099999999999999E-2</v>
      </c>
    </row>
    <row r="73" spans="1:4" x14ac:dyDescent="0.3">
      <c r="A73" s="41" t="s">
        <v>69</v>
      </c>
      <c r="B73" s="11" t="s">
        <v>42</v>
      </c>
      <c r="C73" s="2">
        <v>6.93E-2</v>
      </c>
    </row>
    <row r="74" spans="1:4" x14ac:dyDescent="0.3">
      <c r="A74" s="41" t="s">
        <v>70</v>
      </c>
      <c r="B74" s="11" t="s">
        <v>42</v>
      </c>
      <c r="C74" s="2">
        <v>0</v>
      </c>
    </row>
    <row r="75" spans="1:4" x14ac:dyDescent="0.3">
      <c r="A75" s="57" t="s">
        <v>71</v>
      </c>
      <c r="B75" s="11" t="s">
        <v>42</v>
      </c>
      <c r="C75" s="40">
        <v>7.0543999999999996E-2</v>
      </c>
      <c r="D75" s="53" t="s">
        <v>98</v>
      </c>
    </row>
    <row r="76" spans="1:4" x14ac:dyDescent="0.3">
      <c r="A76" s="57" t="s">
        <v>72</v>
      </c>
      <c r="B76" s="11" t="s">
        <v>42</v>
      </c>
      <c r="C76" s="40">
        <v>7.2043999999999997E-2</v>
      </c>
      <c r="D76" s="53" t="s">
        <v>98</v>
      </c>
    </row>
    <row r="77" spans="1:4" x14ac:dyDescent="0.3">
      <c r="A77" s="57" t="s">
        <v>73</v>
      </c>
      <c r="B77" s="11" t="s">
        <v>42</v>
      </c>
      <c r="C77" s="40">
        <v>0</v>
      </c>
      <c r="D77" s="53" t="s">
        <v>100</v>
      </c>
    </row>
    <row r="78" spans="1:4" x14ac:dyDescent="0.3">
      <c r="A78" s="57" t="s">
        <v>74</v>
      </c>
      <c r="B78" s="11" t="s">
        <v>42</v>
      </c>
      <c r="C78" s="40">
        <v>0</v>
      </c>
      <c r="D78" s="53" t="s">
        <v>100</v>
      </c>
    </row>
    <row r="79" spans="1:4" ht="15" thickBot="1" x14ac:dyDescent="0.35">
      <c r="A79" s="58" t="s">
        <v>75</v>
      </c>
      <c r="B79" s="12" t="s">
        <v>42</v>
      </c>
      <c r="C79" s="59">
        <v>0</v>
      </c>
      <c r="D79" s="53" t="s">
        <v>100</v>
      </c>
    </row>
    <row r="80" spans="1:4" x14ac:dyDescent="0.3">
      <c r="A80" s="51" t="s">
        <v>93</v>
      </c>
      <c r="B80" s="52" t="s">
        <v>94</v>
      </c>
      <c r="C80">
        <f>39.2354948805461/1000</f>
        <v>3.9235494880546097E-2</v>
      </c>
      <c r="D80" t="s">
        <v>96</v>
      </c>
    </row>
    <row r="81" spans="1:4" x14ac:dyDescent="0.3">
      <c r="A81" s="17" t="s">
        <v>95</v>
      </c>
      <c r="B81" s="52" t="s">
        <v>94</v>
      </c>
      <c r="C81">
        <f>0.172367136150235/1000</f>
        <v>1.7236713615023501E-4</v>
      </c>
      <c r="D81" t="s">
        <v>96</v>
      </c>
    </row>
    <row r="82" spans="1:4" ht="15" thickBot="1" x14ac:dyDescent="0.35">
      <c r="A82" s="17" t="s">
        <v>97</v>
      </c>
      <c r="B82" s="52" t="s">
        <v>94</v>
      </c>
      <c r="C82">
        <f>0.460559430539422/1000</f>
        <v>4.6055943053942202E-4</v>
      </c>
      <c r="D82" t="s">
        <v>96</v>
      </c>
    </row>
    <row r="83" spans="1:4" ht="15" thickBot="1" x14ac:dyDescent="0.35">
      <c r="A83" s="62" t="s">
        <v>11</v>
      </c>
      <c r="B83" s="61" t="s">
        <v>94</v>
      </c>
      <c r="C83" s="63">
        <f>0.460559430539422/1000</f>
        <v>4.6055943053942202E-4</v>
      </c>
      <c r="D83" t="s">
        <v>96</v>
      </c>
    </row>
  </sheetData>
  <autoFilter ref="A1:D8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896B-BFBE-403F-A891-C25041EF70AE}">
  <dimension ref="A1:E20"/>
  <sheetViews>
    <sheetView workbookViewId="0">
      <selection activeCell="A21" sqref="A21:XFD26"/>
    </sheetView>
  </sheetViews>
  <sheetFormatPr defaultColWidth="9.109375" defaultRowHeight="14.4" x14ac:dyDescent="0.3"/>
  <cols>
    <col min="1" max="1" width="18.44140625" bestFit="1" customWidth="1"/>
    <col min="2" max="2" width="12.88671875" bestFit="1" customWidth="1"/>
    <col min="3" max="3" width="19.88671875" bestFit="1" customWidth="1"/>
    <col min="4" max="4" width="16.109375" bestFit="1" customWidth="1"/>
    <col min="5" max="5" width="13" bestFit="1" customWidth="1"/>
  </cols>
  <sheetData>
    <row r="1" spans="1:5" ht="15" thickBot="1" x14ac:dyDescent="0.35">
      <c r="A1" s="9" t="s">
        <v>0</v>
      </c>
      <c r="B1" s="8" t="s">
        <v>76</v>
      </c>
      <c r="C1" s="8" t="s">
        <v>2</v>
      </c>
      <c r="D1" s="8" t="s">
        <v>77</v>
      </c>
      <c r="E1" s="8" t="s">
        <v>78</v>
      </c>
    </row>
    <row r="2" spans="1:5" x14ac:dyDescent="0.3">
      <c r="A2" s="24" t="s">
        <v>21</v>
      </c>
      <c r="B2" s="25" t="s">
        <v>79</v>
      </c>
      <c r="C2" s="4">
        <v>8.197455600897615E-5</v>
      </c>
      <c r="D2" s="18">
        <v>1000</v>
      </c>
      <c r="E2" s="5" t="s">
        <v>80</v>
      </c>
    </row>
    <row r="3" spans="1:5" x14ac:dyDescent="0.3">
      <c r="A3" s="26" t="s">
        <v>22</v>
      </c>
      <c r="B3" s="27" t="s">
        <v>79</v>
      </c>
      <c r="C3" s="1">
        <v>8.197455600897615E-5</v>
      </c>
      <c r="D3" s="1">
        <v>1000</v>
      </c>
      <c r="E3" s="2" t="s">
        <v>80</v>
      </c>
    </row>
    <row r="4" spans="1:5" ht="15" thickBot="1" x14ac:dyDescent="0.35">
      <c r="A4" s="28" t="s">
        <v>18</v>
      </c>
      <c r="B4" s="29" t="s">
        <v>79</v>
      </c>
      <c r="C4" s="6">
        <v>4.7472789633274714E-3</v>
      </c>
      <c r="D4" s="6">
        <v>1000</v>
      </c>
      <c r="E4" s="7" t="s">
        <v>80</v>
      </c>
    </row>
    <row r="5" spans="1:5" x14ac:dyDescent="0.3">
      <c r="A5" s="30" t="s">
        <v>34</v>
      </c>
      <c r="B5" s="25" t="s">
        <v>79</v>
      </c>
      <c r="C5" s="4">
        <v>9.6764685858545477E-3</v>
      </c>
      <c r="D5" s="4">
        <v>1000</v>
      </c>
      <c r="E5" s="5" t="s">
        <v>80</v>
      </c>
    </row>
    <row r="6" spans="1:5" x14ac:dyDescent="0.3">
      <c r="A6" s="31" t="s">
        <v>37</v>
      </c>
      <c r="B6" s="27" t="s">
        <v>79</v>
      </c>
      <c r="C6" s="1">
        <v>9.6764685858545477E-3</v>
      </c>
      <c r="D6" s="1">
        <v>1000</v>
      </c>
      <c r="E6" s="2" t="s">
        <v>80</v>
      </c>
    </row>
    <row r="7" spans="1:5" x14ac:dyDescent="0.3">
      <c r="A7" s="31" t="s">
        <v>25</v>
      </c>
      <c r="B7" s="27" t="s">
        <v>79</v>
      </c>
      <c r="C7" s="1">
        <v>9.6764685858545477E-3</v>
      </c>
      <c r="D7" s="1">
        <v>1000</v>
      </c>
      <c r="E7" s="2" t="s">
        <v>80</v>
      </c>
    </row>
    <row r="8" spans="1:5" x14ac:dyDescent="0.3">
      <c r="A8" s="31" t="s">
        <v>30</v>
      </c>
      <c r="B8" s="27" t="s">
        <v>79</v>
      </c>
      <c r="C8" s="1">
        <v>9.6764685858545477E-3</v>
      </c>
      <c r="D8" s="1">
        <v>1000</v>
      </c>
      <c r="E8" s="2" t="s">
        <v>80</v>
      </c>
    </row>
    <row r="9" spans="1:5" x14ac:dyDescent="0.3">
      <c r="A9" s="31" t="s">
        <v>31</v>
      </c>
      <c r="B9" s="27" t="s">
        <v>79</v>
      </c>
      <c r="C9" s="1">
        <v>9.6764685858545477E-3</v>
      </c>
      <c r="D9" s="1">
        <v>1000</v>
      </c>
      <c r="E9" s="2" t="s">
        <v>80</v>
      </c>
    </row>
    <row r="10" spans="1:5" x14ac:dyDescent="0.3">
      <c r="A10" s="31" t="s">
        <v>35</v>
      </c>
      <c r="B10" s="27" t="s">
        <v>79</v>
      </c>
      <c r="C10" s="1">
        <v>1.1536190198848217E-3</v>
      </c>
      <c r="D10" s="1">
        <v>1000</v>
      </c>
      <c r="E10" s="2" t="s">
        <v>80</v>
      </c>
    </row>
    <row r="11" spans="1:5" x14ac:dyDescent="0.3">
      <c r="A11" s="31" t="s">
        <v>38</v>
      </c>
      <c r="B11" s="27" t="s">
        <v>79</v>
      </c>
      <c r="C11" s="1">
        <v>1.1536190198848217E-3</v>
      </c>
      <c r="D11" s="1">
        <v>1000</v>
      </c>
      <c r="E11" s="2" t="s">
        <v>80</v>
      </c>
    </row>
    <row r="12" spans="1:5" x14ac:dyDescent="0.3">
      <c r="A12" s="31" t="s">
        <v>26</v>
      </c>
      <c r="B12" s="27" t="s">
        <v>79</v>
      </c>
      <c r="C12" s="1">
        <v>1.1536190198848217E-3</v>
      </c>
      <c r="D12" s="1">
        <v>1000</v>
      </c>
      <c r="E12" s="2" t="s">
        <v>80</v>
      </c>
    </row>
    <row r="13" spans="1:5" x14ac:dyDescent="0.3">
      <c r="A13" s="31" t="s">
        <v>28</v>
      </c>
      <c r="B13" s="27" t="s">
        <v>79</v>
      </c>
      <c r="C13" s="1">
        <v>1.1536190198848217E-3</v>
      </c>
      <c r="D13" s="1">
        <v>1000</v>
      </c>
      <c r="E13" s="2" t="s">
        <v>80</v>
      </c>
    </row>
    <row r="14" spans="1:5" x14ac:dyDescent="0.3">
      <c r="A14" s="32" t="s">
        <v>32</v>
      </c>
      <c r="B14" s="27" t="s">
        <v>79</v>
      </c>
      <c r="C14" s="1">
        <v>1.1536190198848217E-3</v>
      </c>
      <c r="D14" s="1">
        <v>1000</v>
      </c>
      <c r="E14" s="2" t="s">
        <v>80</v>
      </c>
    </row>
    <row r="15" spans="1:5" x14ac:dyDescent="0.3">
      <c r="A15" s="32" t="s">
        <v>36</v>
      </c>
      <c r="B15" s="27" t="s">
        <v>79</v>
      </c>
      <c r="C15" s="1">
        <v>5.810906478973186E-3</v>
      </c>
      <c r="D15" s="1">
        <v>1000</v>
      </c>
      <c r="E15" s="2" t="s">
        <v>80</v>
      </c>
    </row>
    <row r="16" spans="1:5" x14ac:dyDescent="0.3">
      <c r="A16" s="32" t="s">
        <v>40</v>
      </c>
      <c r="B16" s="27" t="s">
        <v>79</v>
      </c>
      <c r="C16" s="1">
        <v>5.810906478973186E-3</v>
      </c>
      <c r="D16" s="1">
        <v>1000</v>
      </c>
      <c r="E16" s="2" t="s">
        <v>80</v>
      </c>
    </row>
    <row r="17" spans="1:5" x14ac:dyDescent="0.3">
      <c r="A17" s="32" t="s">
        <v>27</v>
      </c>
      <c r="B17" s="27" t="s">
        <v>79</v>
      </c>
      <c r="C17" s="1">
        <v>5.810906478973186E-3</v>
      </c>
      <c r="D17" s="1">
        <v>1000</v>
      </c>
      <c r="E17" s="2" t="s">
        <v>80</v>
      </c>
    </row>
    <row r="18" spans="1:5" x14ac:dyDescent="0.3">
      <c r="A18" s="32" t="s">
        <v>29</v>
      </c>
      <c r="B18" s="27" t="s">
        <v>79</v>
      </c>
      <c r="C18" s="1">
        <v>5.810906478973186E-3</v>
      </c>
      <c r="D18" s="1">
        <v>1000</v>
      </c>
      <c r="E18" s="2" t="s">
        <v>80</v>
      </c>
    </row>
    <row r="19" spans="1:5" x14ac:dyDescent="0.3">
      <c r="A19" s="32" t="s">
        <v>33</v>
      </c>
      <c r="B19" s="27" t="s">
        <v>79</v>
      </c>
      <c r="C19" s="1">
        <v>5.810906478973186E-3</v>
      </c>
      <c r="D19" s="1">
        <v>1000</v>
      </c>
      <c r="E19" s="2" t="s">
        <v>80</v>
      </c>
    </row>
    <row r="20" spans="1:5" x14ac:dyDescent="0.3">
      <c r="A20" s="33" t="s">
        <v>39</v>
      </c>
      <c r="B20" s="29" t="s">
        <v>79</v>
      </c>
      <c r="C20" s="6">
        <v>9.2004999474083502E-5</v>
      </c>
      <c r="D20" s="6">
        <v>1000</v>
      </c>
      <c r="E20" s="7" t="s">
        <v>80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4F0C-085B-4F8B-80A4-853CC51FC5EB}">
  <dimension ref="A1:C2"/>
  <sheetViews>
    <sheetView workbookViewId="0">
      <selection activeCell="A2" sqref="A2"/>
    </sheetView>
  </sheetViews>
  <sheetFormatPr defaultColWidth="9.109375" defaultRowHeight="14.4" x14ac:dyDescent="0.3"/>
  <cols>
    <col min="1" max="1" width="23.109375" customWidth="1"/>
    <col min="2" max="2" width="13.33203125" bestFit="1" customWidth="1"/>
    <col min="3" max="3" width="7" bestFit="1" customWidth="1"/>
  </cols>
  <sheetData>
    <row r="1" spans="1:3" x14ac:dyDescent="0.3">
      <c r="A1" t="s">
        <v>81</v>
      </c>
    </row>
    <row r="2" spans="1:3" x14ac:dyDescent="0.3">
      <c r="A2" t="s">
        <v>82</v>
      </c>
      <c r="B2" t="s">
        <v>4</v>
      </c>
      <c r="C2">
        <v>9.3399999999999997E-2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C1CB49-63A2-4BB9-A6E1-B93BAD25C62D}">
  <ds:schemaRefs>
    <ds:schemaRef ds:uri="http://schemas.microsoft.com/office/2006/metadata/properties"/>
    <ds:schemaRef ds:uri="http://schemas.microsoft.com/office/infopath/2007/PartnerControls"/>
    <ds:schemaRef ds:uri="9c2c21c4-f980-47d5-be5b-1bb924ee96a2"/>
  </ds:schemaRefs>
</ds:datastoreItem>
</file>

<file path=customXml/itemProps2.xml><?xml version="1.0" encoding="utf-8"?>
<ds:datastoreItem xmlns:ds="http://schemas.openxmlformats.org/officeDocument/2006/customXml" ds:itemID="{6EC5A126-2A31-4A8A-BBDD-46E83013591C}"/>
</file>

<file path=customXml/itemProps3.xml><?xml version="1.0" encoding="utf-8"?>
<ds:datastoreItem xmlns:ds="http://schemas.openxmlformats.org/officeDocument/2006/customXml" ds:itemID="{69F79AB8-49D9-484F-991A-27FAE0E62C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GHGs</vt:lpstr>
      <vt:lpstr>Externalities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Ignacio  Alfaro Corrales</cp:lastModifiedBy>
  <cp:revision/>
  <dcterms:created xsi:type="dcterms:W3CDTF">2015-06-05T18:17:20Z</dcterms:created>
  <dcterms:modified xsi:type="dcterms:W3CDTF">2025-10-15T23:49:08Z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</Properties>
</file>