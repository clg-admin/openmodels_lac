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04_Model_2025/PIUP/IPPU_RD_v1_2025/A2_Extra_Inputs/"/>
    </mc:Choice>
  </mc:AlternateContent>
  <xr:revisionPtr revIDLastSave="0" documentId="13_ncr:1_{DDEA0883-AAC7-4392-B896-EF76D15A542F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GHGs" sheetId="1" r:id="rId1"/>
    <sheet name="Externalities" sheetId="2" r:id="rId2"/>
  </sheets>
  <definedNames>
    <definedName name="_xlnm._FilterDatabase" localSheetId="0" hidden="1">GHGs!$A$1:$C$1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<sst xmlns="http://schemas.openxmlformats.org/spreadsheetml/2006/main" count="56" uniqueCount="33">
  <si>
    <t>External Cost</t>
  </si>
  <si>
    <t>Tech</t>
  </si>
  <si>
    <t>EmissionActivityRatio</t>
  </si>
  <si>
    <t>Final Unit</t>
  </si>
  <si>
    <t>Emission</t>
  </si>
  <si>
    <t>EmissionsPenalty</t>
  </si>
  <si>
    <t>Adim.</t>
  </si>
  <si>
    <t>PROD_CLK_TRAD</t>
  </si>
  <si>
    <t>CO2e_IPPU</t>
  </si>
  <si>
    <t>LIME_PROD</t>
  </si>
  <si>
    <t>PARAFFIN</t>
  </si>
  <si>
    <t>CARBONATE</t>
  </si>
  <si>
    <t>CARBIDE_PROD</t>
  </si>
  <si>
    <t>LUBRI_OILS</t>
  </si>
  <si>
    <t>REFR_AC_HFC32</t>
  </si>
  <si>
    <t>REFR_AC_HFC125</t>
  </si>
  <si>
    <t>REFR_AC_HFC134a</t>
  </si>
  <si>
    <t>REFR_AC_HFC143a</t>
  </si>
  <si>
    <t>MtCO2e/Mt Cal</t>
  </si>
  <si>
    <t>INGEI 2022</t>
  </si>
  <si>
    <t>PROD_FERRO</t>
  </si>
  <si>
    <t>PROD_CINC</t>
  </si>
  <si>
    <t>PU_N2O</t>
  </si>
  <si>
    <t>Falta</t>
  </si>
  <si>
    <t>MtCO2e/Mt Clinker</t>
  </si>
  <si>
    <t>MtCO2e/Mt FeNi</t>
  </si>
  <si>
    <t>MtCO2e/Mt Zn</t>
  </si>
  <si>
    <t>MtCO2e/Mtep</t>
  </si>
  <si>
    <t>Calculado</t>
  </si>
  <si>
    <t>MtCO2e/Mt ceras</t>
  </si>
  <si>
    <t>MtCO2e/kt carburo</t>
  </si>
  <si>
    <t>MtCO2e/MtNa2CO3</t>
  </si>
  <si>
    <t>MtCO2e/MtCO2e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</si>
</sst>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6" xfId="0" applyFont="1" applyFill="1" applyBorder="1"/>
    <xf numFmtId="0" fontId="0" fillId="4" borderId="7" xfId="0" applyFill="1" applyBorder="1"/>
    <xf numFmtId="0" fontId="2" fillId="2" borderId="7" xfId="0" applyFont="1" applyFill="1" applyBorder="1"/>
    <xf numFmtId="0" fontId="0" fillId="4" borderId="6" xfId="0" applyFill="1" applyBorder="1"/>
    <xf numFmtId="0" fontId="0" fillId="6" borderId="7" xfId="0" applyFill="1" applyBorder="1"/>
    <xf numFmtId="0" fontId="2" fillId="6" borderId="7" xfId="0" applyFont="1" applyFill="1" applyBorder="1"/>
    <xf numFmtId="164" fontId="0" fillId="5" borderId="7" xfId="0" applyNumberFormat="1" applyFill="1" applyBorder="1"/>
    <xf numFmtId="0" fontId="0" fillId="5" borderId="7" xfId="0" applyFill="1" applyBorder="1"/>
    <xf numFmtId="0" fontId="0" fillId="3" borderId="7" xfId="0" applyFill="1" applyBorder="1" applyAlignment="1">
      <alignment horizontal="left"/>
    </xf>
    <xf numFmtId="164" fontId="0" fillId="5" borderId="6" xfId="0" applyNumberFormat="1" applyFill="1" applyBorder="1"/>
    <xf numFmtId="0" fontId="0" fillId="5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14" sqref="A14"/>
    </sheetView>
  </sheetViews>
  <sheetFormatPr defaultColWidth="9.109375" defaultRowHeight="14.4" x14ac:dyDescent="0.3"/>
  <cols>
    <col min="1" max="1" width="21" bestFit="1" customWidth="1"/>
    <col min="2" max="2" width="28.6640625" bestFit="1" customWidth="1"/>
    <col min="3" max="3" width="21.44140625" bestFit="1" customWidth="1"/>
    <col min="4" max="4" width="36.5546875" bestFit="1" customWidth="1"/>
    <col min="5" max="5" width="10.109375" bestFit="1" customWidth="1"/>
    <col min="6" max="6" width="13.77734375" bestFit="1" customWidth="1"/>
  </cols>
  <sheetData>
    <row r="1" spans="1:5" x14ac:dyDescent="0.3">
      <c r="A1" s="1" t="s">
        <v>1</v>
      </c>
      <c r="B1" s="2" t="s">
        <v>4</v>
      </c>
      <c r="C1" s="3" t="s">
        <v>2</v>
      </c>
    </row>
    <row r="2" spans="1:5" x14ac:dyDescent="0.3">
      <c r="A2" s="14" t="s">
        <v>7</v>
      </c>
      <c r="B2" s="8" t="s">
        <v>8</v>
      </c>
      <c r="C2" s="12">
        <v>0.52029999999999998</v>
      </c>
      <c r="D2" s="13" t="s">
        <v>24</v>
      </c>
      <c r="E2" t="s">
        <v>19</v>
      </c>
    </row>
    <row r="3" spans="1:5" x14ac:dyDescent="0.3">
      <c r="A3" s="7" t="s">
        <v>9</v>
      </c>
      <c r="B3" s="8" t="s">
        <v>8</v>
      </c>
      <c r="C3" s="12">
        <v>0.75</v>
      </c>
      <c r="D3" s="13" t="s">
        <v>18</v>
      </c>
      <c r="E3" t="s">
        <v>19</v>
      </c>
    </row>
    <row r="4" spans="1:5" x14ac:dyDescent="0.3">
      <c r="A4" s="7" t="s">
        <v>11</v>
      </c>
      <c r="B4" s="8" t="s">
        <v>8</v>
      </c>
      <c r="C4" s="12">
        <v>0.41489999999999999</v>
      </c>
      <c r="D4" s="13" t="s">
        <v>31</v>
      </c>
      <c r="E4" t="s">
        <v>19</v>
      </c>
    </row>
    <row r="5" spans="1:5" x14ac:dyDescent="0.3">
      <c r="A5" s="7" t="s">
        <v>12</v>
      </c>
      <c r="B5" s="8" t="s">
        <v>8</v>
      </c>
      <c r="C5" s="12">
        <f>1.1/1000</f>
        <v>1.1000000000000001E-3</v>
      </c>
      <c r="D5" s="13" t="s">
        <v>30</v>
      </c>
      <c r="E5" t="s">
        <v>19</v>
      </c>
    </row>
    <row r="6" spans="1:5" x14ac:dyDescent="0.3">
      <c r="A6" s="7" t="s">
        <v>20</v>
      </c>
      <c r="B6" s="8" t="s">
        <v>8</v>
      </c>
      <c r="C6" s="12">
        <v>4.0157999999999996</v>
      </c>
      <c r="D6" s="13" t="s">
        <v>25</v>
      </c>
      <c r="E6" t="s">
        <v>19</v>
      </c>
    </row>
    <row r="7" spans="1:5" x14ac:dyDescent="0.3">
      <c r="A7" s="7" t="s">
        <v>21</v>
      </c>
      <c r="B7" s="8" t="s">
        <v>8</v>
      </c>
      <c r="C7" s="12">
        <v>1.72</v>
      </c>
      <c r="D7" s="13" t="s">
        <v>26</v>
      </c>
      <c r="E7" t="s">
        <v>19</v>
      </c>
    </row>
    <row r="8" spans="1:5" x14ac:dyDescent="0.3">
      <c r="A8" s="7" t="s">
        <v>13</v>
      </c>
      <c r="B8" s="8" t="s">
        <v>8</v>
      </c>
      <c r="C8" s="13">
        <v>0.71079999999999999</v>
      </c>
      <c r="D8" s="13" t="s">
        <v>27</v>
      </c>
      <c r="E8" t="s">
        <v>28</v>
      </c>
    </row>
    <row r="9" spans="1:5" x14ac:dyDescent="0.3">
      <c r="A9" s="7" t="s">
        <v>10</v>
      </c>
      <c r="B9" s="6" t="s">
        <v>8</v>
      </c>
      <c r="C9" s="13">
        <v>0.67469999999999997</v>
      </c>
      <c r="D9" s="13" t="s">
        <v>29</v>
      </c>
      <c r="E9" t="s">
        <v>19</v>
      </c>
    </row>
    <row r="10" spans="1:5" x14ac:dyDescent="0.3">
      <c r="A10" s="9" t="s">
        <v>22</v>
      </c>
      <c r="B10" s="6" t="s">
        <v>8</v>
      </c>
      <c r="C10" s="15">
        <v>1</v>
      </c>
      <c r="D10" s="16" t="s">
        <v>32</v>
      </c>
      <c r="E10" t="s">
        <v>23</v>
      </c>
    </row>
    <row r="11" spans="1:5" x14ac:dyDescent="0.3">
      <c r="A11" s="10" t="s">
        <v>14</v>
      </c>
      <c r="B11" s="11" t="s">
        <v>8</v>
      </c>
      <c r="C11" s="12">
        <v>1</v>
      </c>
      <c r="D11" s="13" t="s">
        <v>6</v>
      </c>
    </row>
    <row r="12" spans="1:5" x14ac:dyDescent="0.3">
      <c r="A12" s="10" t="s">
        <v>15</v>
      </c>
      <c r="B12" s="11" t="s">
        <v>8</v>
      </c>
      <c r="C12" s="12">
        <v>1</v>
      </c>
      <c r="D12" s="13" t="s">
        <v>6</v>
      </c>
    </row>
    <row r="13" spans="1:5" x14ac:dyDescent="0.3">
      <c r="A13" s="10" t="s">
        <v>16</v>
      </c>
      <c r="B13" s="11" t="s">
        <v>8</v>
      </c>
      <c r="C13" s="12">
        <v>1</v>
      </c>
      <c r="D13" s="13" t="s">
        <v>6</v>
      </c>
    </row>
    <row r="14" spans="1:5" x14ac:dyDescent="0.3">
      <c r="A14" s="10" t="s">
        <v>17</v>
      </c>
      <c r="B14" s="11" t="s">
        <v>8</v>
      </c>
      <c r="C14" s="12">
        <v>1</v>
      </c>
      <c r="D14" s="13" t="s">
        <v>6</v>
      </c>
    </row>
  </sheetData>
  <autoFilter ref="A1:C1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sheetPr>
    <tabColor rgb="FFFFC000"/>
  </sheetPr>
  <dimension ref="A1:E1"/>
  <sheetViews>
    <sheetView workbookViewId="0"/>
  </sheetViews>
  <sheetFormatPr defaultColWidth="9.109375" defaultRowHeight="14.4" x14ac:dyDescent="0.3"/>
  <cols>
    <col min="1" max="2" width="12" bestFit="1" customWidth="1"/>
    <col min="3" max="3" width="19.44140625" bestFit="1" customWidth="1"/>
    <col min="4" max="4" width="16.109375" bestFit="1" customWidth="1"/>
    <col min="5" max="5" width="13" bestFit="1" customWidth="1"/>
    <col min="7" max="7" width="10.77734375" bestFit="1" customWidth="1"/>
  </cols>
  <sheetData>
    <row r="1" spans="1:5" ht="15" thickBot="1" x14ac:dyDescent="0.35">
      <c r="A1" s="5" t="s">
        <v>1</v>
      </c>
      <c r="B1" s="4" t="s">
        <v>0</v>
      </c>
      <c r="C1" s="4" t="s">
        <v>2</v>
      </c>
      <c r="D1" s="4" t="s">
        <v>5</v>
      </c>
      <c r="E1" s="4" t="s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F87958-36BC-497D-A3E4-8D9D7EE5CB1C}"/>
</file>

<file path=customXml/itemProps2.xml><?xml version="1.0" encoding="utf-8"?>
<ds:datastoreItem xmlns:ds="http://schemas.openxmlformats.org/officeDocument/2006/customXml" ds:itemID="{BFFB2CC7-4028-40CF-B585-77900DA351B4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GHGs</vt:lpstr>
      <vt:lpstr>Externalities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Ignacio  Alfaro Corrales</cp:lastModifiedBy>
  <dcterms:created xsi:type="dcterms:W3CDTF">2015-06-05T18:17:20Z</dcterms:created>
  <dcterms:modified xsi:type="dcterms:W3CDTF">2025-09-05T17:57:33Z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