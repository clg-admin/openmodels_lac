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limateLeadGroup\Downloads\RD_model_int_NZ6_AFOLU_10202025\"/>
    </mc:Choice>
  </mc:AlternateContent>
  <xr:revisionPtr revIDLastSave="0" documentId="13_ncr:1_{24940C3C-2C24-46B5-9BE9-97AD37572CFC}" xr6:coauthVersionLast="47" xr6:coauthVersionMax="47" xr10:uidLastSave="{00000000-0000-0000-0000-000000000000}"/>
  <bookViews>
    <workbookView xWindow="28680" yWindow="-120" windowWidth="29040" windowHeight="15720" tabRatio="710" firstSheet="2" activeTab="12" xr2:uid="{00000000-000D-0000-FFFF-FFFF00000000}"/>
  </bookViews>
  <sheets>
    <sheet name="Scenarios" sheetId="7" r:id="rId1"/>
    <sheet name="Overall_Parameters" sheetId="4" r:id="rId2"/>
    <sheet name="Distance_Levers" sheetId="3" r:id="rId3"/>
    <sheet name="Mode_Shift" sheetId="5" r:id="rId4"/>
    <sheet name="Electrical" sheetId="13" r:id="rId5"/>
    <sheet name="Occupancy_Rate" sheetId="6" r:id="rId6"/>
    <sheet name="Tech_Adoption" sheetId="2" r:id="rId7"/>
    <sheet name="SmartGrid" sheetId="14" r:id="rId8"/>
    <sheet name="Efficiency" sheetId="9" r:id="rId9"/>
    <sheet name="TElasticity" sheetId="15" r:id="rId10"/>
    <sheet name="Waste" sheetId="16" r:id="rId11"/>
    <sheet name="IPPU" sheetId="17" r:id="rId12"/>
    <sheet name="Emission_Restriction" sheetId="18" r:id="rId13"/>
  </sheets>
  <definedNames>
    <definedName name="_xlnm._FilterDatabase" localSheetId="8" hidden="1">Efficiency!$A$1:$AS$11</definedName>
    <definedName name="_xlnm._FilterDatabase" localSheetId="4" hidden="1">Electrical!$A$1:$N$1</definedName>
    <definedName name="_xlnm._FilterDatabase" localSheetId="7" hidden="1">SmartGrid!$A$1:$AQ$32</definedName>
    <definedName name="_xlnm._FilterDatabase" localSheetId="6" hidden="1">Tech_Adoption!$A$1:$Q$1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5" i="14" l="1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AJ25" i="14"/>
  <c r="AK25" i="14"/>
  <c r="AL25" i="14"/>
  <c r="AM25" i="14"/>
  <c r="AN25" i="14"/>
  <c r="AO25" i="14"/>
  <c r="AP25" i="14"/>
  <c r="AQ25" i="14"/>
  <c r="L26" i="14"/>
  <c r="M26" i="14"/>
  <c r="N26" i="14"/>
  <c r="O26" i="14"/>
  <c r="P26" i="14"/>
  <c r="Q26" i="14"/>
  <c r="R26" i="14"/>
  <c r="S26" i="14"/>
  <c r="T26" i="14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AI26" i="14"/>
  <c r="AJ26" i="14"/>
  <c r="AK26" i="14"/>
  <c r="AL26" i="14"/>
  <c r="AM26" i="14"/>
  <c r="AN26" i="14"/>
  <c r="AO26" i="14"/>
  <c r="AP26" i="14"/>
  <c r="AQ26" i="14"/>
  <c r="L27" i="14"/>
  <c r="M27" i="14"/>
  <c r="N27" i="14"/>
  <c r="O27" i="14"/>
  <c r="P27" i="14"/>
  <c r="Q27" i="14"/>
  <c r="R27" i="14"/>
  <c r="S27" i="14"/>
  <c r="T27" i="14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AI27" i="14"/>
  <c r="AJ27" i="14"/>
  <c r="AK27" i="14"/>
  <c r="AL27" i="14"/>
  <c r="AM27" i="14"/>
  <c r="AN27" i="14"/>
  <c r="AO27" i="14"/>
  <c r="AP27" i="14"/>
  <c r="AQ27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AJ28" i="14"/>
  <c r="AK28" i="14"/>
  <c r="AL28" i="14"/>
  <c r="AM28" i="14"/>
  <c r="AN28" i="14"/>
  <c r="AO28" i="14"/>
  <c r="AP28" i="14"/>
  <c r="AQ28" i="14"/>
  <c r="K26" i="14"/>
  <c r="K27" i="14"/>
  <c r="K28" i="14"/>
  <c r="K25" i="14"/>
  <c r="M3" i="9" l="1"/>
  <c r="N3" i="9"/>
  <c r="O3" i="9"/>
  <c r="P3" i="9"/>
  <c r="Q3" i="9"/>
  <c r="R3" i="9"/>
  <c r="S3" i="9"/>
  <c r="T3" i="9"/>
  <c r="AS3" i="9" l="1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E1" authorId="0" shapeId="0" xr:uid="{0EF45D07-1E71-4AF6-B9C7-3F1FC8C60609}">
      <text>
        <r>
          <rPr>
            <b/>
            <sz val="9"/>
            <color indexed="81"/>
            <rFont val="Tahoma"/>
            <family val="2"/>
          </rPr>
          <t xml:space="preserve">YES: the indices can be called from the stable_scenario dictionary.
NO: the system must generate the fields.
</t>
        </r>
      </text>
    </comment>
    <comment ref="G1" authorId="0" shapeId="0" xr:uid="{D54218F5-AAF6-49E8-9BFD-E3D2BE2BBDC5}">
      <text>
        <r>
          <rPr>
            <b/>
            <sz val="9"/>
            <color indexed="81"/>
            <rFont val="Tahoma"/>
            <family val="2"/>
          </rPr>
          <t xml:space="preserve">Used for exact values before y_ini
</t>
        </r>
      </text>
    </comment>
    <comment ref="I1" authorId="0" shapeId="0" xr:uid="{AD9B2E57-2BDC-4CF8-BED4-2819961DACAD}">
      <text>
        <r>
          <rPr>
            <b/>
            <sz val="9"/>
            <color indexed="81"/>
            <rFont val="Tahoma"/>
            <family val="2"/>
          </rPr>
          <t>Preceding year of initial year of separation between values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H1" authorId="0" shapeId="0" xr:uid="{262E4C9E-7D42-4756-ACA1-6FF5F58F1949}">
      <text>
        <r>
          <rPr>
            <b/>
            <sz val="9"/>
            <color indexed="81"/>
            <rFont val="Tahoma"/>
            <family val="2"/>
          </rPr>
          <t>Preceding year of initial year of separation between values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Fernando Victor</author>
  </authors>
  <commentList>
    <comment ref="E1" authorId="0" shapeId="0" xr:uid="{89075075-9BCE-4643-AB65-8B748647E961}">
      <text>
        <r>
          <rPr>
            <b/>
            <sz val="9"/>
            <color indexed="81"/>
            <rFont val="Tahoma"/>
            <family val="2"/>
          </rPr>
          <t>No es necesario porque el cambio es muy simple</t>
        </r>
      </text>
    </comment>
    <comment ref="F1" authorId="0" shapeId="0" xr:uid="{8EBDBAD7-7557-4383-ACFF-4FDFFD24C424}">
      <text>
        <r>
          <rPr>
            <b/>
            <sz val="9"/>
            <color indexed="81"/>
            <rFont val="Tahoma"/>
            <family val="2"/>
          </rPr>
          <t>Llenar YES si ya existe el parámetro.
Si el parámetro no existe, no funciona. Por favor hacer la estructura completa desde el inicio.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Fernando Victor</author>
  </authors>
  <commentList>
    <comment ref="E1" authorId="0" shapeId="0" xr:uid="{A1408B82-5AE4-42E4-8876-2F960C7DC980}">
      <text>
        <r>
          <rPr>
            <b/>
            <sz val="9"/>
            <color indexed="81"/>
            <rFont val="Tahoma"/>
            <family val="2"/>
          </rPr>
          <t>No es necesario porque el cambio es muy simple</t>
        </r>
      </text>
    </comment>
    <comment ref="F1" authorId="0" shapeId="0" xr:uid="{07151CBE-96E3-4322-AB1C-FD7336BBC6EC}">
      <text>
        <r>
          <rPr>
            <b/>
            <sz val="9"/>
            <color indexed="81"/>
            <rFont val="Tahoma"/>
            <family val="2"/>
          </rPr>
          <t>Llenar YES si ya existe el parámetro.
Si el parámetro no existe, no funciona. Por favor hacer la estructura completa desde el inicio.</t>
        </r>
      </text>
    </comment>
  </commentList>
</comments>
</file>

<file path=xl/sharedStrings.xml><?xml version="1.0" encoding="utf-8"?>
<sst xmlns="http://schemas.openxmlformats.org/spreadsheetml/2006/main" count="939" uniqueCount="183">
  <si>
    <t>Name</t>
  </si>
  <si>
    <t>Activated</t>
  </si>
  <si>
    <t>Base</t>
  </si>
  <si>
    <t>Reference</t>
  </si>
  <si>
    <t>Based_On</t>
  </si>
  <si>
    <t>Description</t>
  </si>
  <si>
    <t>BAU</t>
  </si>
  <si>
    <t>YES</t>
  </si>
  <si>
    <t>ref</t>
  </si>
  <si>
    <t>Represents a system based on fossil fuels and private transport for the next 30 years.</t>
  </si>
  <si>
    <t>NO</t>
  </si>
  <si>
    <t>Parameter</t>
  </si>
  <si>
    <t>Value</t>
  </si>
  <si>
    <t>Initial_Year_of_Uncertainty</t>
  </si>
  <si>
    <t>Scenario</t>
  </si>
  <si>
    <t>Group_Description</t>
  </si>
  <si>
    <t>Group_Set</t>
  </si>
  <si>
    <t>Relative reduction to BAU - distance</t>
  </si>
  <si>
    <t>Transport_Category</t>
  </si>
  <si>
    <t>Description_Set</t>
  </si>
  <si>
    <t>Tech_Set</t>
  </si>
  <si>
    <t>Context</t>
  </si>
  <si>
    <t>Built-in</t>
  </si>
  <si>
    <t>Logistic</t>
  </si>
  <si>
    <t>Linear</t>
  </si>
  <si>
    <t>R2021</t>
  </si>
  <si>
    <t>R2050</t>
  </si>
  <si>
    <t>L</t>
  </si>
  <si>
    <t>C</t>
  </si>
  <si>
    <t>M</t>
  </si>
  <si>
    <t>y_ini</t>
  </si>
  <si>
    <t>v_2030</t>
  </si>
  <si>
    <t>v_2040</t>
  </si>
  <si>
    <t>v_2050</t>
  </si>
  <si>
    <t>Public</t>
  </si>
  <si>
    <t>n.a.</t>
  </si>
  <si>
    <t>Heavy Fright</t>
  </si>
  <si>
    <t>interp</t>
  </si>
  <si>
    <t>Relative increase to BAU - occupancy rate</t>
  </si>
  <si>
    <t>Description Parameter-Set</t>
  </si>
  <si>
    <t>Built-in Parameter-Set</t>
  </si>
  <si>
    <t>Exact_Years</t>
  </si>
  <si>
    <t>Exact_Values</t>
  </si>
  <si>
    <t>Milestone_Years</t>
  </si>
  <si>
    <t>Milestone_Value</t>
  </si>
  <si>
    <t>Unit</t>
  </si>
  <si>
    <t>Security_Multiplier</t>
  </si>
  <si>
    <t>Method</t>
  </si>
  <si>
    <t>TotalTechnologyAnnualActivityLowerLimit</t>
  </si>
  <si>
    <t>TotalTechnologyAnnualActivityUpperLimit</t>
  </si>
  <si>
    <t>PPICEGASFOI</t>
  </si>
  <si>
    <t>Sector</t>
  </si>
  <si>
    <t>Restriction_Type</t>
  </si>
  <si>
    <t>Transport</t>
  </si>
  <si>
    <t>Private</t>
  </si>
  <si>
    <t>Automobiles Diesel</t>
  </si>
  <si>
    <t>TRAUTDSL</t>
  </si>
  <si>
    <t>Min</t>
  </si>
  <si>
    <t>Automobiles Gasoline</t>
  </si>
  <si>
    <t>TRAUTGSL</t>
  </si>
  <si>
    <t>Automobiles LPG</t>
  </si>
  <si>
    <t>TRAUTLPG</t>
  </si>
  <si>
    <t>Automobiles Electric</t>
  </si>
  <si>
    <t>TRAUTELE</t>
  </si>
  <si>
    <t>Min/Max</t>
  </si>
  <si>
    <t>Automobiles Hybrid Gasoline</t>
  </si>
  <si>
    <t>TRAUTHG</t>
  </si>
  <si>
    <t>Max</t>
  </si>
  <si>
    <t>Diesel  Four Wheel Drive</t>
  </si>
  <si>
    <t>TRSUVDSL</t>
  </si>
  <si>
    <t>Gasoline  Four Wheel Drive</t>
  </si>
  <si>
    <t>TRSUVGSL</t>
  </si>
  <si>
    <t>LPG Four Wheel Drive</t>
  </si>
  <si>
    <t>TRSUVLPG</t>
  </si>
  <si>
    <t>Natural Gas Four Wheel Drive</t>
  </si>
  <si>
    <t>Electric Four Wheel Drive</t>
  </si>
  <si>
    <t>TRSUVELE</t>
  </si>
  <si>
    <t>Gasoline Motorcycle</t>
  </si>
  <si>
    <t>TRMOTGSL</t>
  </si>
  <si>
    <t>Electric Motorcycle</t>
  </si>
  <si>
    <t>TRMOTELE</t>
  </si>
  <si>
    <t>Taxi Diesel</t>
  </si>
  <si>
    <t>TRTAXGSL</t>
  </si>
  <si>
    <t>Taxi LPG</t>
  </si>
  <si>
    <t>TRTAXLPG</t>
  </si>
  <si>
    <t>Taxi Electric</t>
  </si>
  <si>
    <t>TRTAXELE</t>
  </si>
  <si>
    <t>Diesel Public Bus</t>
  </si>
  <si>
    <t>TRBPUDSL</t>
  </si>
  <si>
    <t>Gasoline Public Bus</t>
  </si>
  <si>
    <t>TRBPUGSL</t>
  </si>
  <si>
    <t>LPG Public Bus</t>
  </si>
  <si>
    <t>TRBPULPG</t>
  </si>
  <si>
    <t>Electric Public Bus</t>
  </si>
  <si>
    <t>TRBPUELE</t>
  </si>
  <si>
    <t>Diesel Tourism Bus</t>
  </si>
  <si>
    <t>TRBTURDSL</t>
  </si>
  <si>
    <t>Gasoline Tourism Bus</t>
  </si>
  <si>
    <t>TRBTURGSL</t>
  </si>
  <si>
    <t>LPG Tourim Bus</t>
  </si>
  <si>
    <t>TRBTURLPG</t>
  </si>
  <si>
    <t>Electric Tourism Bus</t>
  </si>
  <si>
    <t>TRBTURELE</t>
  </si>
  <si>
    <t>Diesel Mini Bus</t>
  </si>
  <si>
    <t>TRMBSDSL</t>
  </si>
  <si>
    <t>Gasoline Mini Bus</t>
  </si>
  <si>
    <t>TRMBSGSL</t>
  </si>
  <si>
    <t>LPG Mini Bus</t>
  </si>
  <si>
    <t>TRMBSLPG</t>
  </si>
  <si>
    <t>Electric Mini Bus</t>
  </si>
  <si>
    <t>TRMBSELE</t>
  </si>
  <si>
    <t>Light Freight</t>
  </si>
  <si>
    <t>Diesel Light Freight</t>
  </si>
  <si>
    <t>TRYLFDSL</t>
  </si>
  <si>
    <t>Gasoline Light Freight</t>
  </si>
  <si>
    <t>TRYLFGSL</t>
  </si>
  <si>
    <t>LPG Light Freight</t>
  </si>
  <si>
    <t>TRYLFLPG</t>
  </si>
  <si>
    <t>Electric Light Freight</t>
  </si>
  <si>
    <t>TRYLFELE</t>
  </si>
  <si>
    <t>Hybrid Diesel Light Freight</t>
  </si>
  <si>
    <t>TRYLFHD</t>
  </si>
  <si>
    <t>Diesel Heavy Freight</t>
  </si>
  <si>
    <t>TRYTKDSL</t>
  </si>
  <si>
    <t>Gasoline Heavy Freight</t>
  </si>
  <si>
    <t>TRYTKGSL</t>
  </si>
  <si>
    <t>LPG Heavy Freight</t>
  </si>
  <si>
    <t>TRYTKLPG</t>
  </si>
  <si>
    <t>Electric Heavy Freight</t>
  </si>
  <si>
    <t>TRYTKELE</t>
  </si>
  <si>
    <t>Hydrogen Heavy Freight</t>
  </si>
  <si>
    <t>TRYTKHYD</t>
  </si>
  <si>
    <t>Heavy Freight</t>
  </si>
  <si>
    <t>Hybrid Diesel Heavy Freight</t>
  </si>
  <si>
    <t>TRYTKHD</t>
  </si>
  <si>
    <t>None</t>
  </si>
  <si>
    <t>EmissionActivityRatio</t>
  </si>
  <si>
    <t>Fuel switch in dual power plant</t>
  </si>
  <si>
    <t>Exact</t>
  </si>
  <si>
    <t>AG_RIC</t>
  </si>
  <si>
    <t>AG_BAN</t>
  </si>
  <si>
    <t>AG_SGC</t>
  </si>
  <si>
    <t>AG_COC</t>
  </si>
  <si>
    <t>AG_CAF</t>
  </si>
  <si>
    <t>AG_LEG</t>
  </si>
  <si>
    <t>AG_ROT</t>
  </si>
  <si>
    <t>AG_FRT</t>
  </si>
  <si>
    <t>AGR_CER</t>
  </si>
  <si>
    <t>AG_TRVEG</t>
  </si>
  <si>
    <t>AGR_OTP</t>
  </si>
  <si>
    <t>LU_AGR</t>
  </si>
  <si>
    <t>IMPRIC</t>
  </si>
  <si>
    <t>IMPSGC</t>
  </si>
  <si>
    <t>IMPOTP</t>
  </si>
  <si>
    <t>GA_LEC</t>
  </si>
  <si>
    <t>GA_CARAVI</t>
  </si>
  <si>
    <t>GA_CARBOV</t>
  </si>
  <si>
    <t>GA_CARPOR</t>
  </si>
  <si>
    <t>GA_OTRCAR</t>
  </si>
  <si>
    <t>LU_GAN</t>
  </si>
  <si>
    <t>Set</t>
  </si>
  <si>
    <t>Set_Index</t>
  </si>
  <si>
    <t>SpecifiedAnnualDemand</t>
  </si>
  <si>
    <t>f</t>
  </si>
  <si>
    <t>t</t>
  </si>
  <si>
    <t>Import Sugarcane</t>
  </si>
  <si>
    <t>EmissionsPenalty</t>
  </si>
  <si>
    <t>RM</t>
  </si>
  <si>
    <t>e</t>
  </si>
  <si>
    <t>Waste externalities</t>
  </si>
  <si>
    <t>FERT_ORG</t>
  </si>
  <si>
    <t>salud_residuos</t>
  </si>
  <si>
    <t>contam_agua</t>
  </si>
  <si>
    <t>turismo_residuos</t>
  </si>
  <si>
    <t>Emission</t>
  </si>
  <si>
    <t>CAMFOR</t>
  </si>
  <si>
    <t>CAMCUL</t>
  </si>
  <si>
    <t>CAMPAS</t>
  </si>
  <si>
    <t>CAMASENTA</t>
  </si>
  <si>
    <t>E5CAMFOR</t>
  </si>
  <si>
    <t>E5CAMCUL</t>
  </si>
  <si>
    <t>E5CAMPAS</t>
  </si>
  <si>
    <t>E5CAMASENTA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</si>
</sst>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7" formatCode="0.000"/>
    <numFmt numFmtId="168" formatCode="0.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9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000000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44">
    <xf numFmtId="0" fontId="0" fillId="0" borderId="0" xfId="0"/>
    <xf numFmtId="0" fontId="1" fillId="0" borderId="0" xfId="0" applyFont="1"/>
    <xf numFmtId="0" fontId="0" fillId="0" borderId="9" xfId="0" applyBorder="1"/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5" xfId="0" applyBorder="1"/>
    <xf numFmtId="0" fontId="1" fillId="0" borderId="16" xfId="0" applyFont="1" applyBorder="1"/>
    <xf numFmtId="0" fontId="1" fillId="0" borderId="7" xfId="0" applyFont="1" applyBorder="1"/>
    <xf numFmtId="0" fontId="1" fillId="0" borderId="17" xfId="0" applyFont="1" applyBorder="1"/>
    <xf numFmtId="0" fontId="0" fillId="0" borderId="2" xfId="0" applyBorder="1"/>
    <xf numFmtId="0" fontId="1" fillId="0" borderId="1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0" fillId="0" borderId="8" xfId="0" applyBorder="1"/>
    <xf numFmtId="0" fontId="1" fillId="0" borderId="2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4" borderId="9" xfId="0" applyFill="1" applyBorder="1"/>
    <xf numFmtId="0" fontId="0" fillId="5" borderId="9" xfId="0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4" xfId="0" applyBorder="1"/>
    <xf numFmtId="0" fontId="0" fillId="0" borderId="22" xfId="0" applyBorder="1"/>
    <xf numFmtId="1" fontId="0" fillId="0" borderId="3" xfId="0" applyNumberFormat="1" applyBorder="1"/>
    <xf numFmtId="1" fontId="0" fillId="0" borderId="9" xfId="0" applyNumberFormat="1" applyBorder="1"/>
    <xf numFmtId="1" fontId="0" fillId="0" borderId="4" xfId="0" applyNumberFormat="1" applyBorder="1"/>
    <xf numFmtId="0" fontId="0" fillId="0" borderId="8" xfId="0" applyBorder="1" applyAlignment="1">
      <alignment horizontal="left"/>
    </xf>
    <xf numFmtId="0" fontId="0" fillId="5" borderId="8" xfId="0" applyFill="1" applyBorder="1" applyAlignment="1">
      <alignment horizontal="center" vertical="center"/>
    </xf>
    <xf numFmtId="0" fontId="1" fillId="0" borderId="26" xfId="0" applyFont="1" applyBorder="1"/>
    <xf numFmtId="0" fontId="7" fillId="0" borderId="16" xfId="0" applyFont="1" applyBorder="1"/>
    <xf numFmtId="0" fontId="7" fillId="0" borderId="21" xfId="0" applyFont="1" applyBorder="1"/>
    <xf numFmtId="0" fontId="7" fillId="0" borderId="27" xfId="0" applyFont="1" applyBorder="1"/>
    <xf numFmtId="0" fontId="7" fillId="0" borderId="21" xfId="0" applyFont="1" applyBorder="1" applyAlignment="1">
      <alignment wrapText="1"/>
    </xf>
    <xf numFmtId="0" fontId="7" fillId="0" borderId="28" xfId="0" applyFont="1" applyBorder="1"/>
    <xf numFmtId="0" fontId="7" fillId="0" borderId="19" xfId="0" applyFont="1" applyBorder="1"/>
    <xf numFmtId="0" fontId="0" fillId="3" borderId="9" xfId="0" applyFill="1" applyBorder="1"/>
    <xf numFmtId="0" fontId="0" fillId="6" borderId="13" xfId="0" applyFill="1" applyBorder="1"/>
    <xf numFmtId="0" fontId="0" fillId="6" borderId="14" xfId="0" applyFill="1" applyBorder="1"/>
    <xf numFmtId="0" fontId="0" fillId="6" borderId="15" xfId="0" applyFill="1" applyBorder="1"/>
    <xf numFmtId="1" fontId="0" fillId="6" borderId="3" xfId="0" applyNumberFormat="1" applyFill="1" applyBorder="1"/>
    <xf numFmtId="1" fontId="0" fillId="6" borderId="9" xfId="0" applyNumberFormat="1" applyFill="1" applyBorder="1"/>
    <xf numFmtId="1" fontId="0" fillId="6" borderId="4" xfId="0" applyNumberFormat="1" applyFill="1" applyBorder="1"/>
    <xf numFmtId="0" fontId="6" fillId="7" borderId="9" xfId="0" applyFont="1" applyFill="1" applyBorder="1"/>
    <xf numFmtId="0" fontId="6" fillId="7" borderId="3" xfId="0" applyFont="1" applyFill="1" applyBorder="1"/>
    <xf numFmtId="0" fontId="6" fillId="7" borderId="5" xfId="0" applyFont="1" applyFill="1" applyBorder="1"/>
    <xf numFmtId="0" fontId="6" fillId="7" borderId="10" xfId="0" applyFont="1" applyFill="1" applyBorder="1"/>
    <xf numFmtId="0" fontId="7" fillId="0" borderId="7" xfId="0" applyFont="1" applyBorder="1"/>
    <xf numFmtId="0" fontId="7" fillId="0" borderId="17" xfId="0" applyFont="1" applyBorder="1"/>
    <xf numFmtId="0" fontId="7" fillId="0" borderId="30" xfId="0" applyFont="1" applyBorder="1"/>
    <xf numFmtId="0" fontId="7" fillId="0" borderId="31" xfId="0" applyFont="1" applyBorder="1"/>
    <xf numFmtId="0" fontId="7" fillId="0" borderId="29" xfId="0" applyFont="1" applyBorder="1"/>
    <xf numFmtId="0" fontId="6" fillId="7" borderId="1" xfId="0" applyFont="1" applyFill="1" applyBorder="1"/>
    <xf numFmtId="0" fontId="6" fillId="7" borderId="8" xfId="0" applyFont="1" applyFill="1" applyBorder="1"/>
    <xf numFmtId="0" fontId="6" fillId="7" borderId="2" xfId="0" applyFont="1" applyFill="1" applyBorder="1"/>
    <xf numFmtId="0" fontId="6" fillId="7" borderId="4" xfId="0" applyFont="1" applyFill="1" applyBorder="1"/>
    <xf numFmtId="0" fontId="6" fillId="8" borderId="9" xfId="0" applyFont="1" applyFill="1" applyBorder="1"/>
    <xf numFmtId="0" fontId="6" fillId="7" borderId="6" xfId="0" applyFont="1" applyFill="1" applyBorder="1"/>
    <xf numFmtId="0" fontId="6" fillId="7" borderId="13" xfId="0" applyFont="1" applyFill="1" applyBorder="1"/>
    <xf numFmtId="0" fontId="6" fillId="7" borderId="14" xfId="0" applyFont="1" applyFill="1" applyBorder="1"/>
    <xf numFmtId="0" fontId="6" fillId="7" borderId="15" xfId="0" applyFont="1" applyFill="1" applyBorder="1"/>
    <xf numFmtId="0" fontId="6" fillId="8" borderId="10" xfId="0" applyFont="1" applyFill="1" applyBorder="1"/>
    <xf numFmtId="0" fontId="0" fillId="5" borderId="9" xfId="0" applyFill="1" applyBorder="1"/>
    <xf numFmtId="2" fontId="0" fillId="0" borderId="0" xfId="0" applyNumberFormat="1"/>
    <xf numFmtId="0" fontId="5" fillId="0" borderId="0" xfId="0" applyFont="1"/>
    <xf numFmtId="0" fontId="5" fillId="0" borderId="9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wrapText="1"/>
    </xf>
    <xf numFmtId="167" fontId="5" fillId="0" borderId="9" xfId="0" applyNumberFormat="1" applyFont="1" applyBorder="1" applyAlignment="1">
      <alignment horizontal="center" vertical="center" wrapText="1"/>
    </xf>
    <xf numFmtId="0" fontId="5" fillId="0" borderId="9" xfId="0" applyFont="1" applyBorder="1"/>
    <xf numFmtId="0" fontId="5" fillId="3" borderId="9" xfId="0" applyFont="1" applyFill="1" applyBorder="1"/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/>
    </xf>
    <xf numFmtId="0" fontId="1" fillId="5" borderId="9" xfId="0" applyFont="1" applyFill="1" applyBorder="1" applyAlignment="1">
      <alignment vertical="center"/>
    </xf>
    <xf numFmtId="0" fontId="0" fillId="3" borderId="9" xfId="0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167" fontId="5" fillId="0" borderId="9" xfId="0" applyNumberFormat="1" applyFont="1" applyBorder="1" applyAlignment="1">
      <alignment horizontal="center"/>
    </xf>
    <xf numFmtId="0" fontId="0" fillId="9" borderId="9" xfId="0" applyFill="1" applyBorder="1" applyAlignment="1">
      <alignment wrapText="1"/>
    </xf>
    <xf numFmtId="0" fontId="9" fillId="9" borderId="9" xfId="0" applyFont="1" applyFill="1" applyBorder="1" applyAlignment="1">
      <alignment wrapText="1"/>
    </xf>
    <xf numFmtId="0" fontId="10" fillId="9" borderId="9" xfId="0" quotePrefix="1" applyFont="1" applyFill="1" applyBorder="1" applyAlignment="1">
      <alignment vertical="top"/>
    </xf>
    <xf numFmtId="0" fontId="0" fillId="10" borderId="9" xfId="0" applyFill="1" applyBorder="1" applyAlignment="1">
      <alignment wrapText="1"/>
    </xf>
    <xf numFmtId="0" fontId="9" fillId="10" borderId="9" xfId="0" applyFont="1" applyFill="1" applyBorder="1" applyAlignment="1">
      <alignment wrapText="1"/>
    </xf>
    <xf numFmtId="0" fontId="10" fillId="10" borderId="9" xfId="0" quotePrefix="1" applyFont="1" applyFill="1" applyBorder="1" applyAlignment="1">
      <alignment horizontal="left" vertical="top"/>
    </xf>
    <xf numFmtId="0" fontId="0" fillId="10" borderId="1" xfId="0" applyFill="1" applyBorder="1" applyAlignment="1">
      <alignment wrapText="1"/>
    </xf>
    <xf numFmtId="0" fontId="0" fillId="10" borderId="8" xfId="0" applyFill="1" applyBorder="1" applyAlignment="1">
      <alignment wrapText="1"/>
    </xf>
    <xf numFmtId="0" fontId="10" fillId="10" borderId="8" xfId="0" quotePrefix="1" applyFont="1" applyFill="1" applyBorder="1" applyAlignment="1">
      <alignment horizontal="left" vertical="top"/>
    </xf>
    <xf numFmtId="0" fontId="9" fillId="10" borderId="8" xfId="0" applyFont="1" applyFill="1" applyBorder="1" applyAlignment="1">
      <alignment wrapText="1"/>
    </xf>
    <xf numFmtId="0" fontId="0" fillId="10" borderId="3" xfId="0" applyFill="1" applyBorder="1" applyAlignment="1">
      <alignment wrapText="1"/>
    </xf>
    <xf numFmtId="0" fontId="0" fillId="9" borderId="1" xfId="0" applyFill="1" applyBorder="1" applyAlignment="1">
      <alignment wrapText="1"/>
    </xf>
    <xf numFmtId="0" fontId="0" fillId="9" borderId="8" xfId="0" applyFill="1" applyBorder="1" applyAlignment="1">
      <alignment wrapText="1"/>
    </xf>
    <xf numFmtId="0" fontId="10" fillId="9" borderId="8" xfId="0" quotePrefix="1" applyFont="1" applyFill="1" applyBorder="1" applyAlignment="1">
      <alignment vertical="top"/>
    </xf>
    <xf numFmtId="0" fontId="9" fillId="9" borderId="8" xfId="0" applyFont="1" applyFill="1" applyBorder="1" applyAlignment="1">
      <alignment wrapText="1"/>
    </xf>
    <xf numFmtId="0" fontId="0" fillId="9" borderId="3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9" borderId="10" xfId="0" applyFill="1" applyBorder="1" applyAlignment="1">
      <alignment wrapText="1"/>
    </xf>
    <xf numFmtId="0" fontId="0" fillId="9" borderId="10" xfId="0" applyFill="1" applyBorder="1"/>
    <xf numFmtId="0" fontId="9" fillId="9" borderId="10" xfId="0" applyFont="1" applyFill="1" applyBorder="1" applyAlignment="1">
      <alignment wrapText="1"/>
    </xf>
    <xf numFmtId="0" fontId="0" fillId="10" borderId="11" xfId="0" applyFill="1" applyBorder="1" applyAlignment="1">
      <alignment wrapText="1"/>
    </xf>
    <xf numFmtId="0" fontId="0" fillId="10" borderId="12" xfId="0" applyFill="1" applyBorder="1" applyAlignment="1">
      <alignment wrapText="1"/>
    </xf>
    <xf numFmtId="0" fontId="10" fillId="10" borderId="12" xfId="0" quotePrefix="1" applyFont="1" applyFill="1" applyBorder="1" applyAlignment="1">
      <alignment horizontal="left" vertical="top"/>
    </xf>
    <xf numFmtId="0" fontId="9" fillId="10" borderId="12" xfId="0" applyFont="1" applyFill="1" applyBorder="1" applyAlignment="1">
      <alignment wrapText="1"/>
    </xf>
    <xf numFmtId="167" fontId="0" fillId="9" borderId="8" xfId="0" applyNumberFormat="1" applyFill="1" applyBorder="1" applyAlignment="1">
      <alignment horizontal="center" wrapText="1"/>
    </xf>
    <xf numFmtId="167" fontId="0" fillId="9" borderId="9" xfId="0" applyNumberFormat="1" applyFill="1" applyBorder="1" applyAlignment="1">
      <alignment horizontal="center" wrapText="1"/>
    </xf>
    <xf numFmtId="167" fontId="0" fillId="9" borderId="10" xfId="0" applyNumberFormat="1" applyFill="1" applyBorder="1" applyAlignment="1">
      <alignment horizontal="center" wrapText="1"/>
    </xf>
    <xf numFmtId="167" fontId="0" fillId="10" borderId="8" xfId="0" applyNumberFormat="1" applyFill="1" applyBorder="1" applyAlignment="1">
      <alignment horizontal="center" wrapText="1"/>
    </xf>
    <xf numFmtId="167" fontId="0" fillId="10" borderId="9" xfId="0" applyNumberFormat="1" applyFill="1" applyBorder="1" applyAlignment="1">
      <alignment horizontal="center" wrapText="1"/>
    </xf>
    <xf numFmtId="167" fontId="0" fillId="10" borderId="12" xfId="0" applyNumberFormat="1" applyFill="1" applyBorder="1" applyAlignment="1">
      <alignment horizontal="center" wrapText="1"/>
    </xf>
    <xf numFmtId="167" fontId="6" fillId="11" borderId="9" xfId="0" applyNumberFormat="1" applyFont="1" applyFill="1" applyBorder="1" applyAlignment="1">
      <alignment horizontal="center" vertical="center"/>
    </xf>
    <xf numFmtId="0" fontId="0" fillId="3" borderId="9" xfId="0" applyFill="1" applyBorder="1" applyAlignment="1">
      <alignment wrapText="1"/>
    </xf>
    <xf numFmtId="0" fontId="0" fillId="4" borderId="9" xfId="0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2" xfId="0" applyFont="1" applyFill="1" applyBorder="1"/>
    <xf numFmtId="0" fontId="5" fillId="0" borderId="12" xfId="0" applyFont="1" applyBorder="1"/>
    <xf numFmtId="167" fontId="5" fillId="0" borderId="12" xfId="0" applyNumberFormat="1" applyFont="1" applyBorder="1" applyAlignment="1">
      <alignment horizontal="center"/>
    </xf>
    <xf numFmtId="0" fontId="0" fillId="3" borderId="12" xfId="0" applyFill="1" applyBorder="1" applyAlignment="1">
      <alignment wrapText="1"/>
    </xf>
    <xf numFmtId="0" fontId="0" fillId="10" borderId="9" xfId="0" applyFill="1" applyBorder="1" applyAlignment="1">
      <alignment horizont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19" xfId="0" applyFont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 wrapText="1"/>
    </xf>
    <xf numFmtId="0" fontId="1" fillId="3" borderId="7" xfId="0" applyFont="1" applyFill="1" applyBorder="1" applyAlignment="1">
      <alignment horizontal="left" vertical="center" wrapText="1"/>
    </xf>
    <xf numFmtId="0" fontId="1" fillId="3" borderId="17" xfId="0" applyFont="1" applyFill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168" fontId="0" fillId="4" borderId="9" xfId="0" applyNumberFormat="1" applyFill="1" applyBorder="1" applyAlignment="1">
      <alignment horizontal="center"/>
    </xf>
    <xf numFmtId="168" fontId="6" fillId="11" borderId="9" xfId="0" applyNumberFormat="1" applyFont="1" applyFill="1" applyBorder="1" applyAlignment="1">
      <alignment horizontal="center" vertical="center"/>
    </xf>
  </cellXfs>
  <cellStyles count="3">
    <cellStyle name="Millares 2 2" xfId="1" xr:uid="{892390FE-96F8-4C48-BA57-C33D526789BF}"/>
    <cellStyle name="Normal" xfId="0" builtinId="0"/>
    <cellStyle name="Porcentaje 2" xfId="2" xr:uid="{3F828FCF-793A-4292-94DF-FF6C516FAC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E2FD-6781-40FC-9DD3-A79D8FD71BA2}">
  <dimension ref="A1:F2"/>
  <sheetViews>
    <sheetView zoomScale="85" zoomScaleNormal="85" workbookViewId="0">
      <selection activeCell="A3" sqref="A3:XFD6"/>
    </sheetView>
  </sheetViews>
  <sheetFormatPr defaultColWidth="8.85546875" defaultRowHeight="15" x14ac:dyDescent="0.25"/>
  <cols>
    <col min="1" max="1" width="18.28515625" bestFit="1" customWidth="1"/>
    <col min="2" max="2" width="9.140625" bestFit="1" customWidth="1"/>
    <col min="3" max="3" width="9.140625" customWidth="1"/>
    <col min="4" max="4" width="9.85546875" bestFit="1" customWidth="1"/>
    <col min="5" max="5" width="9.140625" customWidth="1"/>
    <col min="6" max="6" width="93" bestFit="1" customWidth="1"/>
  </cols>
  <sheetData>
    <row r="1" spans="1:6" ht="15.75" thickBot="1" x14ac:dyDescent="0.3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 t="s">
        <v>5</v>
      </c>
    </row>
    <row r="2" spans="1:6" x14ac:dyDescent="0.25">
      <c r="A2" s="27" t="s">
        <v>6</v>
      </c>
      <c r="B2" s="19" t="s">
        <v>7</v>
      </c>
      <c r="C2" s="19" t="s">
        <v>7</v>
      </c>
      <c r="D2" s="19" t="s">
        <v>6</v>
      </c>
      <c r="E2" s="19" t="s">
        <v>8</v>
      </c>
      <c r="F2" s="14" t="s">
        <v>9</v>
      </c>
    </row>
  </sheetData>
  <phoneticPr fontId="4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F0214-6FED-4AAE-89F9-1D5B4098AAFA}">
  <dimension ref="A1:B2"/>
  <sheetViews>
    <sheetView workbookViewId="0"/>
  </sheetViews>
  <sheetFormatPr defaultColWidth="8.85546875" defaultRowHeight="15" x14ac:dyDescent="0.25"/>
  <cols>
    <col min="1" max="1" width="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t="s">
        <v>13</v>
      </c>
      <c r="B2">
        <v>2024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E09ED-F67D-48C5-A45C-B5C1D3FFCA1B}">
  <dimension ref="A1:D1"/>
  <sheetViews>
    <sheetView workbookViewId="0">
      <selection activeCell="A2" sqref="A2:XFD49"/>
    </sheetView>
  </sheetViews>
  <sheetFormatPr defaultColWidth="8.85546875" defaultRowHeight="15" x14ac:dyDescent="0.25"/>
  <cols>
    <col min="1" max="1" width="16.140625" customWidth="1"/>
    <col min="2" max="2" width="41.5703125" bestFit="1" customWidth="1"/>
    <col min="3" max="3" width="18.28515625" bestFit="1" customWidth="1"/>
    <col min="4" max="4" width="32.7109375" bestFit="1" customWidth="1"/>
    <col min="6" max="6" width="19.28515625" bestFit="1" customWidth="1"/>
  </cols>
  <sheetData>
    <row r="1" spans="1:4" ht="15.75" thickBot="1" x14ac:dyDescent="0.3">
      <c r="A1" s="5" t="s">
        <v>14</v>
      </c>
      <c r="B1" s="6" t="s">
        <v>15</v>
      </c>
      <c r="C1" s="6" t="s">
        <v>16</v>
      </c>
      <c r="D1" s="7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78169-816E-4A96-B7EF-FCE84B2F63AE}">
  <dimension ref="A1:Q1"/>
  <sheetViews>
    <sheetView workbookViewId="0">
      <selection activeCell="A2" sqref="A2:XFD21"/>
    </sheetView>
  </sheetViews>
  <sheetFormatPr defaultColWidth="8.85546875" defaultRowHeight="15" x14ac:dyDescent="0.25"/>
  <cols>
    <col min="1" max="1" width="14" bestFit="1" customWidth="1"/>
    <col min="2" max="2" width="18" bestFit="1" customWidth="1"/>
    <col min="3" max="3" width="33.5703125" bestFit="1" customWidth="1"/>
    <col min="4" max="4" width="23.140625" customWidth="1"/>
    <col min="5" max="5" width="14" customWidth="1"/>
    <col min="6" max="7" width="7.28515625" bestFit="1" customWidth="1"/>
    <col min="8" max="8" width="6.28515625" bestFit="1" customWidth="1"/>
    <col min="9" max="10" width="6.140625" bestFit="1" customWidth="1"/>
    <col min="11" max="12" width="6.5703125" bestFit="1" customWidth="1"/>
    <col min="13" max="13" width="5" bestFit="1" customWidth="1"/>
    <col min="14" max="14" width="5.140625" bestFit="1" customWidth="1"/>
    <col min="15" max="15" width="7" bestFit="1" customWidth="1"/>
    <col min="16" max="16" width="7" customWidth="1"/>
    <col min="17" max="17" width="7" bestFit="1" customWidth="1"/>
  </cols>
  <sheetData>
    <row r="1" spans="1:17" ht="15.75" thickBot="1" x14ac:dyDescent="0.3">
      <c r="A1" s="45" t="s">
        <v>14</v>
      </c>
      <c r="B1" s="62" t="s">
        <v>18</v>
      </c>
      <c r="C1" s="62" t="s">
        <v>19</v>
      </c>
      <c r="D1" s="62" t="s">
        <v>20</v>
      </c>
      <c r="E1" s="62" t="s">
        <v>21</v>
      </c>
      <c r="F1" s="62" t="s">
        <v>22</v>
      </c>
      <c r="G1" s="62" t="s">
        <v>23</v>
      </c>
      <c r="H1" s="62" t="s">
        <v>24</v>
      </c>
      <c r="I1" s="62" t="s">
        <v>25</v>
      </c>
      <c r="J1" s="62" t="s">
        <v>26</v>
      </c>
      <c r="K1" s="62" t="s">
        <v>27</v>
      </c>
      <c r="L1" s="62" t="s">
        <v>28</v>
      </c>
      <c r="M1" s="62" t="s">
        <v>29</v>
      </c>
      <c r="N1" s="62" t="s">
        <v>30</v>
      </c>
      <c r="O1" s="62" t="s">
        <v>31</v>
      </c>
      <c r="P1" s="62" t="s">
        <v>32</v>
      </c>
      <c r="Q1" s="63" t="s">
        <v>33</v>
      </c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96C-4A4A-43AA-A25B-C3E8B3533E2E}">
  <dimension ref="A1:N1"/>
  <sheetViews>
    <sheetView zoomScale="70" zoomScaleNormal="70" workbookViewId="0">
      <selection activeCell="A2" sqref="A2:XFD74"/>
    </sheetView>
  </sheetViews>
  <sheetFormatPr defaultColWidth="8.85546875" defaultRowHeight="15" x14ac:dyDescent="0.25"/>
  <cols>
    <col min="1" max="1" width="14.140625" customWidth="1"/>
    <col min="2" max="2" width="39.7109375" customWidth="1"/>
    <col min="3" max="3" width="18.7109375" bestFit="1" customWidth="1"/>
    <col min="4" max="4" width="66.5703125" bestFit="1" customWidth="1"/>
    <col min="5" max="5" width="17.42578125" customWidth="1"/>
    <col min="6" max="6" width="15" bestFit="1" customWidth="1"/>
    <col min="7" max="7" width="50.140625" customWidth="1"/>
    <col min="8" max="8" width="59.5703125" customWidth="1"/>
    <col min="9" max="9" width="13.28515625" bestFit="1" customWidth="1"/>
    <col min="10" max="10" width="14.140625" customWidth="1"/>
    <col min="11" max="11" width="13.28515625" customWidth="1"/>
    <col min="12" max="12" width="8.85546875" customWidth="1"/>
    <col min="13" max="13" width="12.42578125" customWidth="1"/>
    <col min="14" max="14" width="44.140625" customWidth="1"/>
    <col min="16" max="16" width="40.7109375" bestFit="1" customWidth="1"/>
    <col min="17" max="17" width="16.28515625" bestFit="1" customWidth="1"/>
    <col min="18" max="18" width="44.28515625" bestFit="1" customWidth="1"/>
    <col min="19" max="20" width="5.5703125" bestFit="1" customWidth="1"/>
    <col min="21" max="21" width="211.85546875" bestFit="1" customWidth="1"/>
    <col min="22" max="22" width="206.7109375" bestFit="1" customWidth="1"/>
    <col min="23" max="24" width="6.5703125" bestFit="1" customWidth="1"/>
    <col min="25" max="25" width="7.7109375" bestFit="1" customWidth="1"/>
    <col min="26" max="26" width="5.7109375" bestFit="1" customWidth="1"/>
    <col min="27" max="27" width="6.5703125" bestFit="1" customWidth="1"/>
    <col min="28" max="28" width="33.5703125" bestFit="1" customWidth="1"/>
  </cols>
  <sheetData>
    <row r="1" spans="1:14" ht="30.75" thickBot="1" x14ac:dyDescent="0.3">
      <c r="A1" s="5" t="s">
        <v>14</v>
      </c>
      <c r="B1" s="6" t="s">
        <v>11</v>
      </c>
      <c r="C1" s="6" t="s">
        <v>20</v>
      </c>
      <c r="D1" s="6" t="s">
        <v>39</v>
      </c>
      <c r="E1" s="16" t="s">
        <v>40</v>
      </c>
      <c r="F1" s="6" t="s">
        <v>24</v>
      </c>
      <c r="G1" s="26" t="s">
        <v>41</v>
      </c>
      <c r="H1" s="26" t="s">
        <v>42</v>
      </c>
      <c r="I1" s="6" t="s">
        <v>30</v>
      </c>
      <c r="J1" s="16" t="s">
        <v>43</v>
      </c>
      <c r="K1" s="16" t="s">
        <v>44</v>
      </c>
      <c r="L1" s="6" t="s">
        <v>45</v>
      </c>
      <c r="M1" s="16" t="s">
        <v>46</v>
      </c>
      <c r="N1" s="7" t="s">
        <v>47</v>
      </c>
    </row>
  </sheetData>
  <phoneticPr fontId="4" type="noConversion"/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DEA80-95B5-46B7-8877-6E7973A698EF}">
  <dimension ref="A1:D1"/>
  <sheetViews>
    <sheetView workbookViewId="0">
      <selection activeCell="A2" sqref="A2:XFD49"/>
    </sheetView>
  </sheetViews>
  <sheetFormatPr defaultColWidth="8.85546875" defaultRowHeight="15" x14ac:dyDescent="0.25"/>
  <cols>
    <col min="1" max="1" width="8.28515625" bestFit="1" customWidth="1"/>
    <col min="2" max="2" width="34.28515625" bestFit="1" customWidth="1"/>
    <col min="3" max="3" width="18.7109375" bestFit="1" customWidth="1"/>
    <col min="4" max="4" width="37.28515625" bestFit="1" customWidth="1"/>
  </cols>
  <sheetData>
    <row r="1" spans="1:4" ht="15.75" thickBot="1" x14ac:dyDescent="0.3">
      <c r="A1" s="5" t="s">
        <v>14</v>
      </c>
      <c r="B1" s="6" t="s">
        <v>15</v>
      </c>
      <c r="C1" s="6" t="s">
        <v>16</v>
      </c>
      <c r="D1" s="7" t="s">
        <v>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FB00-1289-4B8E-87A3-B856D2DE3F10}">
  <dimension ref="A1:Q39"/>
  <sheetViews>
    <sheetView zoomScale="70" zoomScaleNormal="70" workbookViewId="0">
      <pane ySplit="1" topLeftCell="A15" activePane="bottomLeft" state="frozen"/>
      <selection pane="bottomLeft" activeCell="A40" sqref="A40:XFD186"/>
    </sheetView>
  </sheetViews>
  <sheetFormatPr defaultColWidth="8.85546875" defaultRowHeight="15" x14ac:dyDescent="0.25"/>
  <cols>
    <col min="1" max="1" width="11.7109375" bestFit="1" customWidth="1"/>
    <col min="2" max="2" width="11.7109375" customWidth="1"/>
    <col min="3" max="3" width="23.85546875" bestFit="1" customWidth="1"/>
    <col min="4" max="4" width="35.85546875" customWidth="1"/>
    <col min="5" max="5" width="13.85546875" bestFit="1" customWidth="1"/>
    <col min="6" max="6" width="10.42578125" bestFit="1" customWidth="1"/>
    <col min="7" max="7" width="8.5703125" bestFit="1" customWidth="1"/>
    <col min="8" max="8" width="8.42578125" bestFit="1" customWidth="1"/>
    <col min="10" max="12" width="6.140625" bestFit="1" customWidth="1"/>
    <col min="13" max="13" width="6.85546875" bestFit="1" customWidth="1"/>
    <col min="14" max="14" width="9.85546875" bestFit="1" customWidth="1"/>
    <col min="15" max="15" width="9.85546875" customWidth="1"/>
    <col min="16" max="16" width="9.85546875" bestFit="1" customWidth="1"/>
    <col min="17" max="17" width="20.5703125" bestFit="1" customWidth="1"/>
    <col min="19" max="19" width="16.5703125" bestFit="1" customWidth="1"/>
  </cols>
  <sheetData>
    <row r="1" spans="1:17" ht="15.75" thickBot="1" x14ac:dyDescent="0.3">
      <c r="A1" s="64" t="s">
        <v>14</v>
      </c>
      <c r="B1" s="65" t="s">
        <v>51</v>
      </c>
      <c r="C1" s="65" t="s">
        <v>18</v>
      </c>
      <c r="D1" s="65" t="s">
        <v>19</v>
      </c>
      <c r="E1" s="65" t="s">
        <v>20</v>
      </c>
      <c r="F1" s="65" t="s">
        <v>23</v>
      </c>
      <c r="G1" s="65" t="s">
        <v>24</v>
      </c>
      <c r="H1" s="65" t="s">
        <v>25</v>
      </c>
      <c r="I1" s="65" t="s">
        <v>26</v>
      </c>
      <c r="J1" s="65" t="s">
        <v>27</v>
      </c>
      <c r="K1" s="65" t="s">
        <v>28</v>
      </c>
      <c r="L1" s="65" t="s">
        <v>29</v>
      </c>
      <c r="M1" s="65" t="s">
        <v>30</v>
      </c>
      <c r="N1" s="65" t="s">
        <v>31</v>
      </c>
      <c r="O1" s="65" t="s">
        <v>32</v>
      </c>
      <c r="P1" s="65" t="s">
        <v>33</v>
      </c>
      <c r="Q1" s="66" t="s">
        <v>52</v>
      </c>
    </row>
    <row r="2" spans="1:17" x14ac:dyDescent="0.25">
      <c r="A2" s="67" t="s">
        <v>6</v>
      </c>
      <c r="B2" s="68" t="s">
        <v>53</v>
      </c>
      <c r="C2" s="68" t="s">
        <v>54</v>
      </c>
      <c r="D2" s="68" t="s">
        <v>55</v>
      </c>
      <c r="E2" s="68" t="s">
        <v>56</v>
      </c>
      <c r="F2" s="68" t="s">
        <v>10</v>
      </c>
      <c r="G2" s="68" t="s">
        <v>7</v>
      </c>
      <c r="H2" s="68" t="s">
        <v>35</v>
      </c>
      <c r="I2" s="68" t="s">
        <v>35</v>
      </c>
      <c r="J2" s="68" t="s">
        <v>35</v>
      </c>
      <c r="K2" s="68" t="s">
        <v>35</v>
      </c>
      <c r="L2" s="68" t="s">
        <v>35</v>
      </c>
      <c r="M2" s="68">
        <v>2024</v>
      </c>
      <c r="N2" s="68" t="s">
        <v>37</v>
      </c>
      <c r="O2" s="68">
        <v>0</v>
      </c>
      <c r="P2" s="68">
        <v>0</v>
      </c>
      <c r="Q2" s="69" t="s">
        <v>57</v>
      </c>
    </row>
    <row r="3" spans="1:17" x14ac:dyDescent="0.25">
      <c r="A3" s="59" t="s">
        <v>6</v>
      </c>
      <c r="B3" s="58" t="s">
        <v>53</v>
      </c>
      <c r="C3" s="58" t="s">
        <v>54</v>
      </c>
      <c r="D3" s="58" t="s">
        <v>58</v>
      </c>
      <c r="E3" s="58" t="s">
        <v>59</v>
      </c>
      <c r="F3" s="58" t="s">
        <v>10</v>
      </c>
      <c r="G3" s="58" t="s">
        <v>7</v>
      </c>
      <c r="H3" s="58" t="s">
        <v>35</v>
      </c>
      <c r="I3" s="58" t="s">
        <v>35</v>
      </c>
      <c r="J3" s="58" t="s">
        <v>35</v>
      </c>
      <c r="K3" s="58" t="s">
        <v>35</v>
      </c>
      <c r="L3" s="58" t="s">
        <v>35</v>
      </c>
      <c r="M3" s="58">
        <v>2024</v>
      </c>
      <c r="N3" s="58" t="s">
        <v>37</v>
      </c>
      <c r="O3" s="58">
        <v>0</v>
      </c>
      <c r="P3" s="58">
        <v>0</v>
      </c>
      <c r="Q3" s="70" t="s">
        <v>57</v>
      </c>
    </row>
    <row r="4" spans="1:17" x14ac:dyDescent="0.25">
      <c r="A4" s="59" t="s">
        <v>6</v>
      </c>
      <c r="B4" s="58" t="s">
        <v>53</v>
      </c>
      <c r="C4" s="58" t="s">
        <v>54</v>
      </c>
      <c r="D4" s="58" t="s">
        <v>60</v>
      </c>
      <c r="E4" s="58" t="s">
        <v>61</v>
      </c>
      <c r="F4" s="58" t="s">
        <v>10</v>
      </c>
      <c r="G4" s="58" t="s">
        <v>7</v>
      </c>
      <c r="H4" s="58" t="s">
        <v>35</v>
      </c>
      <c r="I4" s="58" t="s">
        <v>35</v>
      </c>
      <c r="J4" s="58" t="s">
        <v>35</v>
      </c>
      <c r="K4" s="58" t="s">
        <v>35</v>
      </c>
      <c r="L4" s="58" t="s">
        <v>35</v>
      </c>
      <c r="M4" s="58">
        <v>2024</v>
      </c>
      <c r="N4" s="58" t="s">
        <v>37</v>
      </c>
      <c r="O4" s="58">
        <v>0</v>
      </c>
      <c r="P4" s="58">
        <v>0</v>
      </c>
      <c r="Q4" s="70" t="s">
        <v>57</v>
      </c>
    </row>
    <row r="5" spans="1:17" x14ac:dyDescent="0.25">
      <c r="A5" s="59" t="s">
        <v>6</v>
      </c>
      <c r="B5" s="58" t="s">
        <v>53</v>
      </c>
      <c r="C5" s="58" t="s">
        <v>54</v>
      </c>
      <c r="D5" s="58" t="s">
        <v>62</v>
      </c>
      <c r="E5" s="58" t="s">
        <v>63</v>
      </c>
      <c r="F5" s="58" t="s">
        <v>7</v>
      </c>
      <c r="G5" s="58" t="s">
        <v>10</v>
      </c>
      <c r="H5" s="71">
        <v>1E-3</v>
      </c>
      <c r="I5" s="71">
        <v>0.99</v>
      </c>
      <c r="J5" s="58">
        <v>9.2999999999999999E-2</v>
      </c>
      <c r="K5" s="58">
        <v>0.05</v>
      </c>
      <c r="L5" s="58">
        <v>2035</v>
      </c>
      <c r="M5" s="58">
        <v>2024</v>
      </c>
      <c r="N5" s="58" t="s">
        <v>35</v>
      </c>
      <c r="O5" s="58" t="s">
        <v>35</v>
      </c>
      <c r="P5" s="58" t="s">
        <v>35</v>
      </c>
      <c r="Q5" s="70" t="s">
        <v>64</v>
      </c>
    </row>
    <row r="6" spans="1:17" ht="15.75" thickBot="1" x14ac:dyDescent="0.3">
      <c r="A6" s="60" t="s">
        <v>6</v>
      </c>
      <c r="B6" s="61" t="s">
        <v>53</v>
      </c>
      <c r="C6" s="61" t="s">
        <v>54</v>
      </c>
      <c r="D6" s="61" t="s">
        <v>65</v>
      </c>
      <c r="E6" s="61" t="s">
        <v>66</v>
      </c>
      <c r="F6" s="61" t="s">
        <v>10</v>
      </c>
      <c r="G6" s="61" t="s">
        <v>7</v>
      </c>
      <c r="H6" s="61" t="s">
        <v>35</v>
      </c>
      <c r="I6" s="61" t="s">
        <v>35</v>
      </c>
      <c r="J6" s="61" t="s">
        <v>35</v>
      </c>
      <c r="K6" s="61" t="s">
        <v>35</v>
      </c>
      <c r="L6" s="61" t="s">
        <v>35</v>
      </c>
      <c r="M6" s="61">
        <v>2024</v>
      </c>
      <c r="N6" s="61" t="s">
        <v>37</v>
      </c>
      <c r="O6" s="61">
        <v>0</v>
      </c>
      <c r="P6" s="61">
        <v>0</v>
      </c>
      <c r="Q6" s="72" t="s">
        <v>67</v>
      </c>
    </row>
    <row r="7" spans="1:17" x14ac:dyDescent="0.25">
      <c r="A7" s="73" t="s">
        <v>6</v>
      </c>
      <c r="B7" s="74" t="s">
        <v>53</v>
      </c>
      <c r="C7" s="74" t="s">
        <v>54</v>
      </c>
      <c r="D7" s="74" t="s">
        <v>68</v>
      </c>
      <c r="E7" s="74" t="s">
        <v>69</v>
      </c>
      <c r="F7" s="74" t="s">
        <v>10</v>
      </c>
      <c r="G7" s="74" t="s">
        <v>7</v>
      </c>
      <c r="H7" s="74" t="s">
        <v>35</v>
      </c>
      <c r="I7" s="74" t="s">
        <v>35</v>
      </c>
      <c r="J7" s="74" t="s">
        <v>35</v>
      </c>
      <c r="K7" s="74" t="s">
        <v>35</v>
      </c>
      <c r="L7" s="74" t="s">
        <v>35</v>
      </c>
      <c r="M7" s="74">
        <v>2024</v>
      </c>
      <c r="N7" s="74" t="s">
        <v>37</v>
      </c>
      <c r="O7" s="74">
        <v>0.01</v>
      </c>
      <c r="P7" s="74">
        <v>0</v>
      </c>
      <c r="Q7" s="75" t="s">
        <v>57</v>
      </c>
    </row>
    <row r="8" spans="1:17" x14ac:dyDescent="0.25">
      <c r="A8" s="59" t="s">
        <v>6</v>
      </c>
      <c r="B8" s="58" t="s">
        <v>53</v>
      </c>
      <c r="C8" s="58" t="s">
        <v>54</v>
      </c>
      <c r="D8" s="58" t="s">
        <v>70</v>
      </c>
      <c r="E8" s="58" t="s">
        <v>71</v>
      </c>
      <c r="F8" s="58" t="s">
        <v>10</v>
      </c>
      <c r="G8" s="58" t="s">
        <v>7</v>
      </c>
      <c r="H8" s="58" t="s">
        <v>35</v>
      </c>
      <c r="I8" s="58" t="s">
        <v>35</v>
      </c>
      <c r="J8" s="58" t="s">
        <v>35</v>
      </c>
      <c r="K8" s="58" t="s">
        <v>35</v>
      </c>
      <c r="L8" s="58" t="s">
        <v>35</v>
      </c>
      <c r="M8" s="58">
        <v>2024</v>
      </c>
      <c r="N8" s="58" t="s">
        <v>37</v>
      </c>
      <c r="O8" s="58">
        <v>0.01</v>
      </c>
      <c r="P8" s="58">
        <v>0</v>
      </c>
      <c r="Q8" s="70" t="s">
        <v>57</v>
      </c>
    </row>
    <row r="9" spans="1:17" x14ac:dyDescent="0.25">
      <c r="A9" s="59" t="s">
        <v>6</v>
      </c>
      <c r="B9" s="58" t="s">
        <v>53</v>
      </c>
      <c r="C9" s="58" t="s">
        <v>54</v>
      </c>
      <c r="D9" s="58" t="s">
        <v>72</v>
      </c>
      <c r="E9" s="58" t="s">
        <v>73</v>
      </c>
      <c r="F9" s="58" t="s">
        <v>10</v>
      </c>
      <c r="G9" s="58" t="s">
        <v>7</v>
      </c>
      <c r="H9" s="58" t="s">
        <v>35</v>
      </c>
      <c r="I9" s="58" t="s">
        <v>35</v>
      </c>
      <c r="J9" s="58" t="s">
        <v>35</v>
      </c>
      <c r="K9" s="58" t="s">
        <v>35</v>
      </c>
      <c r="L9" s="58" t="s">
        <v>35</v>
      </c>
      <c r="M9" s="58">
        <v>2024</v>
      </c>
      <c r="N9" s="58" t="s">
        <v>37</v>
      </c>
      <c r="O9" s="58">
        <v>0</v>
      </c>
      <c r="P9" s="58">
        <v>0</v>
      </c>
      <c r="Q9" s="70" t="s">
        <v>57</v>
      </c>
    </row>
    <row r="10" spans="1:17" x14ac:dyDescent="0.25">
      <c r="A10" s="59" t="s">
        <v>6</v>
      </c>
      <c r="B10" s="58" t="s">
        <v>53</v>
      </c>
      <c r="C10" s="58" t="s">
        <v>54</v>
      </c>
      <c r="D10" s="58" t="s">
        <v>74</v>
      </c>
      <c r="E10" s="58" t="s">
        <v>73</v>
      </c>
      <c r="F10" s="58" t="s">
        <v>10</v>
      </c>
      <c r="G10" s="58" t="s">
        <v>7</v>
      </c>
      <c r="H10" s="58" t="s">
        <v>35</v>
      </c>
      <c r="I10" s="58" t="s">
        <v>35</v>
      </c>
      <c r="J10" s="58" t="s">
        <v>35</v>
      </c>
      <c r="K10" s="58" t="s">
        <v>35</v>
      </c>
      <c r="L10" s="58" t="s">
        <v>35</v>
      </c>
      <c r="M10" s="58">
        <v>2024</v>
      </c>
      <c r="N10" s="58" t="s">
        <v>37</v>
      </c>
      <c r="O10" s="58">
        <v>0</v>
      </c>
      <c r="P10" s="58">
        <v>0</v>
      </c>
      <c r="Q10" s="70" t="s">
        <v>57</v>
      </c>
    </row>
    <row r="11" spans="1:17" ht="15.75" thickBot="1" x14ac:dyDescent="0.3">
      <c r="A11" s="60" t="s">
        <v>6</v>
      </c>
      <c r="B11" s="61" t="s">
        <v>53</v>
      </c>
      <c r="C11" s="61" t="s">
        <v>54</v>
      </c>
      <c r="D11" s="61" t="s">
        <v>75</v>
      </c>
      <c r="E11" s="61" t="s">
        <v>76</v>
      </c>
      <c r="F11" s="61" t="s">
        <v>7</v>
      </c>
      <c r="G11" s="61" t="s">
        <v>10</v>
      </c>
      <c r="H11" s="76">
        <v>1E-3</v>
      </c>
      <c r="I11" s="76">
        <v>0.99</v>
      </c>
      <c r="J11" s="61">
        <v>9.2999999999999999E-2</v>
      </c>
      <c r="K11" s="61">
        <v>0.05</v>
      </c>
      <c r="L11" s="61">
        <v>2035</v>
      </c>
      <c r="M11" s="61">
        <v>2024</v>
      </c>
      <c r="N11" s="61" t="s">
        <v>35</v>
      </c>
      <c r="O11" s="61" t="s">
        <v>35</v>
      </c>
      <c r="P11" s="61" t="s">
        <v>35</v>
      </c>
      <c r="Q11" s="72" t="s">
        <v>64</v>
      </c>
    </row>
    <row r="12" spans="1:17" x14ac:dyDescent="0.25">
      <c r="A12" s="73" t="s">
        <v>6</v>
      </c>
      <c r="B12" s="74" t="s">
        <v>53</v>
      </c>
      <c r="C12" s="74" t="s">
        <v>54</v>
      </c>
      <c r="D12" s="74" t="s">
        <v>77</v>
      </c>
      <c r="E12" s="74" t="s">
        <v>78</v>
      </c>
      <c r="F12" s="74" t="s">
        <v>10</v>
      </c>
      <c r="G12" s="74" t="s">
        <v>7</v>
      </c>
      <c r="H12" s="74" t="s">
        <v>35</v>
      </c>
      <c r="I12" s="74" t="s">
        <v>35</v>
      </c>
      <c r="J12" s="74" t="s">
        <v>35</v>
      </c>
      <c r="K12" s="74" t="s">
        <v>35</v>
      </c>
      <c r="L12" s="74" t="s">
        <v>35</v>
      </c>
      <c r="M12" s="74">
        <v>2024</v>
      </c>
      <c r="N12" s="74" t="s">
        <v>37</v>
      </c>
      <c r="O12" s="74">
        <v>0</v>
      </c>
      <c r="P12" s="74">
        <v>0</v>
      </c>
      <c r="Q12" s="75" t="s">
        <v>57</v>
      </c>
    </row>
    <row r="13" spans="1:17" ht="15.75" thickBot="1" x14ac:dyDescent="0.3">
      <c r="A13" s="60" t="s">
        <v>6</v>
      </c>
      <c r="B13" s="61" t="s">
        <v>53</v>
      </c>
      <c r="C13" s="61" t="s">
        <v>54</v>
      </c>
      <c r="D13" s="61" t="s">
        <v>79</v>
      </c>
      <c r="E13" s="61" t="s">
        <v>80</v>
      </c>
      <c r="F13" s="61" t="s">
        <v>7</v>
      </c>
      <c r="G13" s="61" t="s">
        <v>10</v>
      </c>
      <c r="H13" s="76">
        <v>1E-3</v>
      </c>
      <c r="I13" s="76">
        <v>0.99</v>
      </c>
      <c r="J13" s="61">
        <v>9.2999999999999999E-2</v>
      </c>
      <c r="K13" s="61">
        <v>0.05</v>
      </c>
      <c r="L13" s="61">
        <v>2035</v>
      </c>
      <c r="M13" s="61">
        <v>2024</v>
      </c>
      <c r="N13" s="61" t="s">
        <v>35</v>
      </c>
      <c r="O13" s="61" t="s">
        <v>35</v>
      </c>
      <c r="P13" s="61" t="s">
        <v>35</v>
      </c>
      <c r="Q13" s="72" t="s">
        <v>64</v>
      </c>
    </row>
    <row r="14" spans="1:17" x14ac:dyDescent="0.25">
      <c r="A14" s="73" t="s">
        <v>6</v>
      </c>
      <c r="B14" s="74" t="s">
        <v>53</v>
      </c>
      <c r="C14" s="74" t="s">
        <v>54</v>
      </c>
      <c r="D14" s="74" t="s">
        <v>81</v>
      </c>
      <c r="E14" s="74" t="s">
        <v>82</v>
      </c>
      <c r="F14" s="74" t="s">
        <v>10</v>
      </c>
      <c r="G14" s="74" t="s">
        <v>7</v>
      </c>
      <c r="H14" s="74" t="s">
        <v>35</v>
      </c>
      <c r="I14" s="74" t="s">
        <v>35</v>
      </c>
      <c r="J14" s="74" t="s">
        <v>35</v>
      </c>
      <c r="K14" s="74" t="s">
        <v>35</v>
      </c>
      <c r="L14" s="74" t="s">
        <v>35</v>
      </c>
      <c r="M14" s="74">
        <v>2024</v>
      </c>
      <c r="N14" s="74" t="s">
        <v>37</v>
      </c>
      <c r="O14" s="74">
        <v>0</v>
      </c>
      <c r="P14" s="74">
        <v>0</v>
      </c>
      <c r="Q14" s="75" t="s">
        <v>57</v>
      </c>
    </row>
    <row r="15" spans="1:17" x14ac:dyDescent="0.25">
      <c r="A15" s="59" t="s">
        <v>6</v>
      </c>
      <c r="B15" s="58" t="s">
        <v>53</v>
      </c>
      <c r="C15" s="58" t="s">
        <v>54</v>
      </c>
      <c r="D15" s="58" t="s">
        <v>83</v>
      </c>
      <c r="E15" s="58" t="s">
        <v>84</v>
      </c>
      <c r="F15" s="58" t="s">
        <v>10</v>
      </c>
      <c r="G15" s="58" t="s">
        <v>7</v>
      </c>
      <c r="H15" s="58" t="s">
        <v>35</v>
      </c>
      <c r="I15" s="58" t="s">
        <v>35</v>
      </c>
      <c r="J15" s="58" t="s">
        <v>35</v>
      </c>
      <c r="K15" s="58" t="s">
        <v>35</v>
      </c>
      <c r="L15" s="58" t="s">
        <v>35</v>
      </c>
      <c r="M15" s="58">
        <v>2024</v>
      </c>
      <c r="N15" s="58" t="s">
        <v>37</v>
      </c>
      <c r="O15" s="58">
        <v>0</v>
      </c>
      <c r="P15" s="58">
        <v>0</v>
      </c>
      <c r="Q15" s="70" t="s">
        <v>57</v>
      </c>
    </row>
    <row r="16" spans="1:17" ht="15.75" thickBot="1" x14ac:dyDescent="0.3">
      <c r="A16" s="60" t="s">
        <v>6</v>
      </c>
      <c r="B16" s="61" t="s">
        <v>53</v>
      </c>
      <c r="C16" s="61" t="s">
        <v>54</v>
      </c>
      <c r="D16" s="61" t="s">
        <v>85</v>
      </c>
      <c r="E16" s="61" t="s">
        <v>86</v>
      </c>
      <c r="F16" s="61" t="s">
        <v>7</v>
      </c>
      <c r="G16" s="61" t="s">
        <v>10</v>
      </c>
      <c r="H16" s="76">
        <v>1E-3</v>
      </c>
      <c r="I16" s="76">
        <v>0.99</v>
      </c>
      <c r="J16" s="61">
        <v>9.2999999999999999E-2</v>
      </c>
      <c r="K16" s="61">
        <v>0.05</v>
      </c>
      <c r="L16" s="61">
        <v>2035</v>
      </c>
      <c r="M16" s="61">
        <v>2024</v>
      </c>
      <c r="N16" s="61" t="s">
        <v>35</v>
      </c>
      <c r="O16" s="61" t="s">
        <v>35</v>
      </c>
      <c r="P16" s="61" t="s">
        <v>35</v>
      </c>
      <c r="Q16" s="72" t="s">
        <v>64</v>
      </c>
    </row>
    <row r="17" spans="1:17" x14ac:dyDescent="0.25">
      <c r="A17" s="73" t="s">
        <v>6</v>
      </c>
      <c r="B17" s="74" t="s">
        <v>53</v>
      </c>
      <c r="C17" s="74" t="s">
        <v>34</v>
      </c>
      <c r="D17" s="74" t="s">
        <v>87</v>
      </c>
      <c r="E17" s="74" t="s">
        <v>88</v>
      </c>
      <c r="F17" s="74" t="s">
        <v>10</v>
      </c>
      <c r="G17" s="74" t="s">
        <v>7</v>
      </c>
      <c r="H17" s="74" t="s">
        <v>35</v>
      </c>
      <c r="I17" s="74" t="s">
        <v>35</v>
      </c>
      <c r="J17" s="74" t="s">
        <v>35</v>
      </c>
      <c r="K17" s="74" t="s">
        <v>35</v>
      </c>
      <c r="L17" s="74" t="s">
        <v>35</v>
      </c>
      <c r="M17" s="74">
        <v>2024</v>
      </c>
      <c r="N17" s="74" t="s">
        <v>37</v>
      </c>
      <c r="O17" s="74">
        <v>0</v>
      </c>
      <c r="P17" s="74">
        <v>0</v>
      </c>
      <c r="Q17" s="75" t="s">
        <v>57</v>
      </c>
    </row>
    <row r="18" spans="1:17" x14ac:dyDescent="0.25">
      <c r="A18" s="59" t="s">
        <v>6</v>
      </c>
      <c r="B18" s="58" t="s">
        <v>53</v>
      </c>
      <c r="C18" s="58" t="s">
        <v>34</v>
      </c>
      <c r="D18" s="58" t="s">
        <v>89</v>
      </c>
      <c r="E18" s="58" t="s">
        <v>90</v>
      </c>
      <c r="F18" s="58" t="s">
        <v>10</v>
      </c>
      <c r="G18" s="58" t="s">
        <v>7</v>
      </c>
      <c r="H18" s="58" t="s">
        <v>35</v>
      </c>
      <c r="I18" s="58" t="s">
        <v>35</v>
      </c>
      <c r="J18" s="58" t="s">
        <v>35</v>
      </c>
      <c r="K18" s="58" t="s">
        <v>35</v>
      </c>
      <c r="L18" s="58" t="s">
        <v>35</v>
      </c>
      <c r="M18" s="58">
        <v>2024</v>
      </c>
      <c r="N18" s="58" t="s">
        <v>37</v>
      </c>
      <c r="O18" s="58">
        <v>0</v>
      </c>
      <c r="P18" s="58">
        <v>0</v>
      </c>
      <c r="Q18" s="70" t="s">
        <v>57</v>
      </c>
    </row>
    <row r="19" spans="1:17" x14ac:dyDescent="0.25">
      <c r="A19" s="59" t="s">
        <v>6</v>
      </c>
      <c r="B19" s="58" t="s">
        <v>53</v>
      </c>
      <c r="C19" s="58" t="s">
        <v>34</v>
      </c>
      <c r="D19" s="58" t="s">
        <v>91</v>
      </c>
      <c r="E19" s="58" t="s">
        <v>92</v>
      </c>
      <c r="F19" s="58" t="s">
        <v>10</v>
      </c>
      <c r="G19" s="58" t="s">
        <v>7</v>
      </c>
      <c r="H19" s="58" t="s">
        <v>35</v>
      </c>
      <c r="I19" s="58" t="s">
        <v>35</v>
      </c>
      <c r="J19" s="58" t="s">
        <v>35</v>
      </c>
      <c r="K19" s="58" t="s">
        <v>35</v>
      </c>
      <c r="L19" s="58" t="s">
        <v>35</v>
      </c>
      <c r="M19" s="58">
        <v>2024</v>
      </c>
      <c r="N19" s="58" t="s">
        <v>37</v>
      </c>
      <c r="O19" s="58">
        <v>0</v>
      </c>
      <c r="P19" s="58">
        <v>0</v>
      </c>
      <c r="Q19" s="70" t="s">
        <v>57</v>
      </c>
    </row>
    <row r="20" spans="1:17" ht="15.75" thickBot="1" x14ac:dyDescent="0.3">
      <c r="A20" s="60" t="s">
        <v>6</v>
      </c>
      <c r="B20" s="61" t="s">
        <v>53</v>
      </c>
      <c r="C20" s="61" t="s">
        <v>34</v>
      </c>
      <c r="D20" s="61" t="s">
        <v>93</v>
      </c>
      <c r="E20" s="61" t="s">
        <v>94</v>
      </c>
      <c r="F20" s="61" t="s">
        <v>7</v>
      </c>
      <c r="G20" s="61" t="s">
        <v>10</v>
      </c>
      <c r="H20" s="76">
        <v>1E-3</v>
      </c>
      <c r="I20" s="76">
        <v>0.99</v>
      </c>
      <c r="J20" s="61">
        <v>9.2999999999999999E-2</v>
      </c>
      <c r="K20" s="61">
        <v>0.05</v>
      </c>
      <c r="L20" s="61">
        <v>2035</v>
      </c>
      <c r="M20" s="61">
        <v>2024</v>
      </c>
      <c r="N20" s="61" t="s">
        <v>35</v>
      </c>
      <c r="O20" s="61" t="s">
        <v>35</v>
      </c>
      <c r="P20" s="61" t="s">
        <v>35</v>
      </c>
      <c r="Q20" s="72" t="s">
        <v>64</v>
      </c>
    </row>
    <row r="21" spans="1:17" x14ac:dyDescent="0.25">
      <c r="A21" s="73" t="s">
        <v>6</v>
      </c>
      <c r="B21" s="74" t="s">
        <v>53</v>
      </c>
      <c r="C21" s="74" t="s">
        <v>34</v>
      </c>
      <c r="D21" s="74" t="s">
        <v>95</v>
      </c>
      <c r="E21" s="74" t="s">
        <v>96</v>
      </c>
      <c r="F21" s="74" t="s">
        <v>10</v>
      </c>
      <c r="G21" s="74" t="s">
        <v>7</v>
      </c>
      <c r="H21" s="74" t="s">
        <v>35</v>
      </c>
      <c r="I21" s="74" t="s">
        <v>35</v>
      </c>
      <c r="J21" s="74" t="s">
        <v>35</v>
      </c>
      <c r="K21" s="74" t="s">
        <v>35</v>
      </c>
      <c r="L21" s="74" t="s">
        <v>35</v>
      </c>
      <c r="M21" s="74">
        <v>2024</v>
      </c>
      <c r="N21" s="74" t="s">
        <v>37</v>
      </c>
      <c r="O21" s="74">
        <v>0</v>
      </c>
      <c r="P21" s="74">
        <v>0</v>
      </c>
      <c r="Q21" s="75" t="s">
        <v>57</v>
      </c>
    </row>
    <row r="22" spans="1:17" x14ac:dyDescent="0.25">
      <c r="A22" s="59" t="s">
        <v>6</v>
      </c>
      <c r="B22" s="58" t="s">
        <v>53</v>
      </c>
      <c r="C22" s="58" t="s">
        <v>34</v>
      </c>
      <c r="D22" s="58" t="s">
        <v>97</v>
      </c>
      <c r="E22" s="58" t="s">
        <v>98</v>
      </c>
      <c r="F22" s="58" t="s">
        <v>10</v>
      </c>
      <c r="G22" s="58" t="s">
        <v>7</v>
      </c>
      <c r="H22" s="58" t="s">
        <v>35</v>
      </c>
      <c r="I22" s="58" t="s">
        <v>35</v>
      </c>
      <c r="J22" s="58" t="s">
        <v>35</v>
      </c>
      <c r="K22" s="58" t="s">
        <v>35</v>
      </c>
      <c r="L22" s="58" t="s">
        <v>35</v>
      </c>
      <c r="M22" s="58">
        <v>2024</v>
      </c>
      <c r="N22" s="58" t="s">
        <v>37</v>
      </c>
      <c r="O22" s="58">
        <v>0</v>
      </c>
      <c r="P22" s="58">
        <v>0</v>
      </c>
      <c r="Q22" s="70" t="s">
        <v>57</v>
      </c>
    </row>
    <row r="23" spans="1:17" x14ac:dyDescent="0.25">
      <c r="A23" s="59" t="s">
        <v>6</v>
      </c>
      <c r="B23" s="58" t="s">
        <v>53</v>
      </c>
      <c r="C23" s="58" t="s">
        <v>34</v>
      </c>
      <c r="D23" s="58" t="s">
        <v>99</v>
      </c>
      <c r="E23" s="58" t="s">
        <v>100</v>
      </c>
      <c r="F23" s="58" t="s">
        <v>10</v>
      </c>
      <c r="G23" s="58" t="s">
        <v>7</v>
      </c>
      <c r="H23" s="58" t="s">
        <v>35</v>
      </c>
      <c r="I23" s="58" t="s">
        <v>35</v>
      </c>
      <c r="J23" s="58" t="s">
        <v>35</v>
      </c>
      <c r="K23" s="58" t="s">
        <v>35</v>
      </c>
      <c r="L23" s="58" t="s">
        <v>35</v>
      </c>
      <c r="M23" s="58">
        <v>2024</v>
      </c>
      <c r="N23" s="58" t="s">
        <v>37</v>
      </c>
      <c r="O23" s="58">
        <v>0</v>
      </c>
      <c r="P23" s="58">
        <v>0</v>
      </c>
      <c r="Q23" s="70" t="s">
        <v>57</v>
      </c>
    </row>
    <row r="24" spans="1:17" ht="15.75" thickBot="1" x14ac:dyDescent="0.3">
      <c r="A24" s="60" t="s">
        <v>6</v>
      </c>
      <c r="B24" s="61" t="s">
        <v>53</v>
      </c>
      <c r="C24" s="61" t="s">
        <v>34</v>
      </c>
      <c r="D24" s="61" t="s">
        <v>101</v>
      </c>
      <c r="E24" s="61" t="s">
        <v>102</v>
      </c>
      <c r="F24" s="61" t="s">
        <v>7</v>
      </c>
      <c r="G24" s="61" t="s">
        <v>10</v>
      </c>
      <c r="H24" s="76">
        <v>1E-3</v>
      </c>
      <c r="I24" s="76">
        <v>0.99</v>
      </c>
      <c r="J24" s="61">
        <v>9.2999999999999999E-2</v>
      </c>
      <c r="K24" s="61">
        <v>0.05</v>
      </c>
      <c r="L24" s="61">
        <v>2035</v>
      </c>
      <c r="M24" s="61">
        <v>2024</v>
      </c>
      <c r="N24" s="61" t="s">
        <v>35</v>
      </c>
      <c r="O24" s="61" t="s">
        <v>35</v>
      </c>
      <c r="P24" s="61" t="s">
        <v>35</v>
      </c>
      <c r="Q24" s="72" t="s">
        <v>64</v>
      </c>
    </row>
    <row r="25" spans="1:17" x14ac:dyDescent="0.25">
      <c r="A25" s="73" t="s">
        <v>6</v>
      </c>
      <c r="B25" s="74" t="s">
        <v>53</v>
      </c>
      <c r="C25" s="74" t="s">
        <v>34</v>
      </c>
      <c r="D25" s="74" t="s">
        <v>103</v>
      </c>
      <c r="E25" s="74" t="s">
        <v>104</v>
      </c>
      <c r="F25" s="74" t="s">
        <v>10</v>
      </c>
      <c r="G25" s="74" t="s">
        <v>7</v>
      </c>
      <c r="H25" s="74" t="s">
        <v>35</v>
      </c>
      <c r="I25" s="74" t="s">
        <v>35</v>
      </c>
      <c r="J25" s="74" t="s">
        <v>35</v>
      </c>
      <c r="K25" s="74" t="s">
        <v>35</v>
      </c>
      <c r="L25" s="74" t="s">
        <v>35</v>
      </c>
      <c r="M25" s="74">
        <v>2024</v>
      </c>
      <c r="N25" s="74" t="s">
        <v>37</v>
      </c>
      <c r="O25" s="74">
        <v>0</v>
      </c>
      <c r="P25" s="74">
        <v>0</v>
      </c>
      <c r="Q25" s="75" t="s">
        <v>57</v>
      </c>
    </row>
    <row r="26" spans="1:17" x14ac:dyDescent="0.25">
      <c r="A26" s="59" t="s">
        <v>6</v>
      </c>
      <c r="B26" s="58" t="s">
        <v>53</v>
      </c>
      <c r="C26" s="58" t="s">
        <v>34</v>
      </c>
      <c r="D26" s="58" t="s">
        <v>105</v>
      </c>
      <c r="E26" s="58" t="s">
        <v>106</v>
      </c>
      <c r="F26" s="58" t="s">
        <v>10</v>
      </c>
      <c r="G26" s="58" t="s">
        <v>7</v>
      </c>
      <c r="H26" s="58" t="s">
        <v>35</v>
      </c>
      <c r="I26" s="58" t="s">
        <v>35</v>
      </c>
      <c r="J26" s="58" t="s">
        <v>35</v>
      </c>
      <c r="K26" s="58" t="s">
        <v>35</v>
      </c>
      <c r="L26" s="58" t="s">
        <v>35</v>
      </c>
      <c r="M26" s="58">
        <v>2024</v>
      </c>
      <c r="N26" s="58" t="s">
        <v>37</v>
      </c>
      <c r="O26" s="58">
        <v>0</v>
      </c>
      <c r="P26" s="58">
        <v>0</v>
      </c>
      <c r="Q26" s="70" t="s">
        <v>57</v>
      </c>
    </row>
    <row r="27" spans="1:17" x14ac:dyDescent="0.25">
      <c r="A27" s="59" t="s">
        <v>6</v>
      </c>
      <c r="B27" s="58" t="s">
        <v>53</v>
      </c>
      <c r="C27" s="58" t="s">
        <v>34</v>
      </c>
      <c r="D27" s="58" t="s">
        <v>107</v>
      </c>
      <c r="E27" s="58" t="s">
        <v>108</v>
      </c>
      <c r="F27" s="58" t="s">
        <v>10</v>
      </c>
      <c r="G27" s="58" t="s">
        <v>7</v>
      </c>
      <c r="H27" s="58" t="s">
        <v>35</v>
      </c>
      <c r="I27" s="58" t="s">
        <v>35</v>
      </c>
      <c r="J27" s="58" t="s">
        <v>35</v>
      </c>
      <c r="K27" s="58" t="s">
        <v>35</v>
      </c>
      <c r="L27" s="58" t="s">
        <v>35</v>
      </c>
      <c r="M27" s="58">
        <v>2024</v>
      </c>
      <c r="N27" s="58" t="s">
        <v>37</v>
      </c>
      <c r="O27" s="58">
        <v>0</v>
      </c>
      <c r="P27" s="58">
        <v>0</v>
      </c>
      <c r="Q27" s="70" t="s">
        <v>57</v>
      </c>
    </row>
    <row r="28" spans="1:17" ht="15.75" thickBot="1" x14ac:dyDescent="0.3">
      <c r="A28" s="60" t="s">
        <v>6</v>
      </c>
      <c r="B28" s="61" t="s">
        <v>53</v>
      </c>
      <c r="C28" s="61" t="s">
        <v>34</v>
      </c>
      <c r="D28" s="61" t="s">
        <v>109</v>
      </c>
      <c r="E28" s="61" t="s">
        <v>110</v>
      </c>
      <c r="F28" s="61" t="s">
        <v>7</v>
      </c>
      <c r="G28" s="61" t="s">
        <v>10</v>
      </c>
      <c r="H28" s="76">
        <v>1E-3</v>
      </c>
      <c r="I28" s="76">
        <v>0.99</v>
      </c>
      <c r="J28" s="61">
        <v>9.2999999999999999E-2</v>
      </c>
      <c r="K28" s="61">
        <v>0.05</v>
      </c>
      <c r="L28" s="61">
        <v>2035</v>
      </c>
      <c r="M28" s="61">
        <v>2024</v>
      </c>
      <c r="N28" s="61" t="s">
        <v>35</v>
      </c>
      <c r="O28" s="61" t="s">
        <v>35</v>
      </c>
      <c r="P28" s="61" t="s">
        <v>35</v>
      </c>
      <c r="Q28" s="72" t="s">
        <v>64</v>
      </c>
    </row>
    <row r="29" spans="1:17" x14ac:dyDescent="0.25">
      <c r="A29" s="73" t="s">
        <v>6</v>
      </c>
      <c r="B29" s="74" t="s">
        <v>53</v>
      </c>
      <c r="C29" s="74" t="s">
        <v>111</v>
      </c>
      <c r="D29" s="74" t="s">
        <v>112</v>
      </c>
      <c r="E29" s="74" t="s">
        <v>113</v>
      </c>
      <c r="F29" s="74" t="s">
        <v>10</v>
      </c>
      <c r="G29" s="74" t="s">
        <v>7</v>
      </c>
      <c r="H29" s="74" t="s">
        <v>35</v>
      </c>
      <c r="I29" s="74" t="s">
        <v>35</v>
      </c>
      <c r="J29" s="74" t="s">
        <v>35</v>
      </c>
      <c r="K29" s="74" t="s">
        <v>35</v>
      </c>
      <c r="L29" s="74" t="s">
        <v>35</v>
      </c>
      <c r="M29" s="74">
        <v>2024</v>
      </c>
      <c r="N29" s="74" t="s">
        <v>37</v>
      </c>
      <c r="O29" s="74">
        <v>0</v>
      </c>
      <c r="P29" s="74">
        <v>0</v>
      </c>
      <c r="Q29" s="75" t="s">
        <v>57</v>
      </c>
    </row>
    <row r="30" spans="1:17" x14ac:dyDescent="0.25">
      <c r="A30" s="59" t="s">
        <v>6</v>
      </c>
      <c r="B30" s="58" t="s">
        <v>53</v>
      </c>
      <c r="C30" s="58" t="s">
        <v>111</v>
      </c>
      <c r="D30" s="58" t="s">
        <v>114</v>
      </c>
      <c r="E30" s="58" t="s">
        <v>115</v>
      </c>
      <c r="F30" s="58" t="s">
        <v>10</v>
      </c>
      <c r="G30" s="58" t="s">
        <v>7</v>
      </c>
      <c r="H30" s="58" t="s">
        <v>35</v>
      </c>
      <c r="I30" s="58" t="s">
        <v>35</v>
      </c>
      <c r="J30" s="58" t="s">
        <v>35</v>
      </c>
      <c r="K30" s="58" t="s">
        <v>35</v>
      </c>
      <c r="L30" s="58" t="s">
        <v>35</v>
      </c>
      <c r="M30" s="58">
        <v>2024</v>
      </c>
      <c r="N30" s="58" t="s">
        <v>37</v>
      </c>
      <c r="O30" s="58">
        <v>0</v>
      </c>
      <c r="P30" s="58">
        <v>0</v>
      </c>
      <c r="Q30" s="70" t="s">
        <v>57</v>
      </c>
    </row>
    <row r="31" spans="1:17" x14ac:dyDescent="0.25">
      <c r="A31" s="59" t="s">
        <v>6</v>
      </c>
      <c r="B31" s="58" t="s">
        <v>53</v>
      </c>
      <c r="C31" s="58" t="s">
        <v>111</v>
      </c>
      <c r="D31" s="58" t="s">
        <v>116</v>
      </c>
      <c r="E31" s="58" t="s">
        <v>117</v>
      </c>
      <c r="F31" s="58" t="s">
        <v>10</v>
      </c>
      <c r="G31" s="58" t="s">
        <v>7</v>
      </c>
      <c r="H31" s="58" t="s">
        <v>35</v>
      </c>
      <c r="I31" s="58" t="s">
        <v>35</v>
      </c>
      <c r="J31" s="58" t="s">
        <v>35</v>
      </c>
      <c r="K31" s="58" t="s">
        <v>35</v>
      </c>
      <c r="L31" s="58" t="s">
        <v>35</v>
      </c>
      <c r="M31" s="58">
        <v>2024</v>
      </c>
      <c r="N31" s="58" t="s">
        <v>37</v>
      </c>
      <c r="O31" s="58">
        <v>0</v>
      </c>
      <c r="P31" s="58">
        <v>0</v>
      </c>
      <c r="Q31" s="70" t="s">
        <v>57</v>
      </c>
    </row>
    <row r="32" spans="1:17" x14ac:dyDescent="0.25">
      <c r="A32" s="59" t="s">
        <v>6</v>
      </c>
      <c r="B32" s="58" t="s">
        <v>53</v>
      </c>
      <c r="C32" s="58" t="s">
        <v>111</v>
      </c>
      <c r="D32" s="58" t="s">
        <v>118</v>
      </c>
      <c r="E32" s="58" t="s">
        <v>119</v>
      </c>
      <c r="F32" s="58" t="s">
        <v>7</v>
      </c>
      <c r="G32" s="58" t="s">
        <v>10</v>
      </c>
      <c r="H32" s="71">
        <v>1E-3</v>
      </c>
      <c r="I32" s="71">
        <v>0.99</v>
      </c>
      <c r="J32" s="58">
        <v>9.2999999999999999E-2</v>
      </c>
      <c r="K32" s="58">
        <v>0.05</v>
      </c>
      <c r="L32" s="58">
        <v>2035</v>
      </c>
      <c r="M32" s="58">
        <v>2024</v>
      </c>
      <c r="N32" s="58" t="s">
        <v>35</v>
      </c>
      <c r="O32" s="58" t="s">
        <v>35</v>
      </c>
      <c r="P32" s="58" t="s">
        <v>35</v>
      </c>
      <c r="Q32" s="70" t="s">
        <v>64</v>
      </c>
    </row>
    <row r="33" spans="1:17" ht="15.75" thickBot="1" x14ac:dyDescent="0.3">
      <c r="A33" s="60" t="s">
        <v>6</v>
      </c>
      <c r="B33" s="61" t="s">
        <v>53</v>
      </c>
      <c r="C33" s="61" t="s">
        <v>111</v>
      </c>
      <c r="D33" s="61" t="s">
        <v>120</v>
      </c>
      <c r="E33" s="61" t="s">
        <v>121</v>
      </c>
      <c r="F33" s="61" t="s">
        <v>10</v>
      </c>
      <c r="G33" s="61" t="s">
        <v>7</v>
      </c>
      <c r="H33" s="61" t="s">
        <v>35</v>
      </c>
      <c r="I33" s="61" t="s">
        <v>35</v>
      </c>
      <c r="J33" s="61" t="s">
        <v>35</v>
      </c>
      <c r="K33" s="61" t="s">
        <v>35</v>
      </c>
      <c r="L33" s="61" t="s">
        <v>35</v>
      </c>
      <c r="M33" s="61">
        <v>2024</v>
      </c>
      <c r="N33" s="61" t="s">
        <v>37</v>
      </c>
      <c r="O33" s="61">
        <v>0</v>
      </c>
      <c r="P33" s="61">
        <v>0</v>
      </c>
      <c r="Q33" s="72" t="s">
        <v>67</v>
      </c>
    </row>
    <row r="34" spans="1:17" x14ac:dyDescent="0.25">
      <c r="A34" s="73" t="s">
        <v>6</v>
      </c>
      <c r="B34" s="74" t="s">
        <v>53</v>
      </c>
      <c r="C34" s="74" t="s">
        <v>36</v>
      </c>
      <c r="D34" s="74" t="s">
        <v>122</v>
      </c>
      <c r="E34" s="74" t="s">
        <v>123</v>
      </c>
      <c r="F34" s="74" t="s">
        <v>10</v>
      </c>
      <c r="G34" s="74" t="s">
        <v>7</v>
      </c>
      <c r="H34" s="74" t="s">
        <v>35</v>
      </c>
      <c r="I34" s="74" t="s">
        <v>35</v>
      </c>
      <c r="J34" s="74" t="s">
        <v>35</v>
      </c>
      <c r="K34" s="74" t="s">
        <v>35</v>
      </c>
      <c r="L34" s="74" t="s">
        <v>35</v>
      </c>
      <c r="M34" s="74">
        <v>2024</v>
      </c>
      <c r="N34" s="74" t="s">
        <v>37</v>
      </c>
      <c r="O34" s="74">
        <v>0</v>
      </c>
      <c r="P34" s="74">
        <v>0</v>
      </c>
      <c r="Q34" s="75" t="s">
        <v>57</v>
      </c>
    </row>
    <row r="35" spans="1:17" x14ac:dyDescent="0.25">
      <c r="A35" s="59" t="s">
        <v>6</v>
      </c>
      <c r="B35" s="58" t="s">
        <v>53</v>
      </c>
      <c r="C35" s="58" t="s">
        <v>36</v>
      </c>
      <c r="D35" s="58" t="s">
        <v>124</v>
      </c>
      <c r="E35" s="58" t="s">
        <v>125</v>
      </c>
      <c r="F35" s="58" t="s">
        <v>10</v>
      </c>
      <c r="G35" s="58" t="s">
        <v>7</v>
      </c>
      <c r="H35" s="58" t="s">
        <v>35</v>
      </c>
      <c r="I35" s="58" t="s">
        <v>35</v>
      </c>
      <c r="J35" s="58" t="s">
        <v>35</v>
      </c>
      <c r="K35" s="58" t="s">
        <v>35</v>
      </c>
      <c r="L35" s="58" t="s">
        <v>35</v>
      </c>
      <c r="M35" s="58">
        <v>2024</v>
      </c>
      <c r="N35" s="58" t="s">
        <v>37</v>
      </c>
      <c r="O35" s="58">
        <v>0</v>
      </c>
      <c r="P35" s="58">
        <v>0</v>
      </c>
      <c r="Q35" s="70" t="s">
        <v>57</v>
      </c>
    </row>
    <row r="36" spans="1:17" x14ac:dyDescent="0.25">
      <c r="A36" s="59" t="s">
        <v>6</v>
      </c>
      <c r="B36" s="58" t="s">
        <v>53</v>
      </c>
      <c r="C36" s="58" t="s">
        <v>36</v>
      </c>
      <c r="D36" s="58" t="s">
        <v>126</v>
      </c>
      <c r="E36" s="58" t="s">
        <v>127</v>
      </c>
      <c r="F36" s="58" t="s">
        <v>10</v>
      </c>
      <c r="G36" s="58" t="s">
        <v>7</v>
      </c>
      <c r="H36" s="58" t="s">
        <v>35</v>
      </c>
      <c r="I36" s="58" t="s">
        <v>35</v>
      </c>
      <c r="J36" s="58" t="s">
        <v>35</v>
      </c>
      <c r="K36" s="58" t="s">
        <v>35</v>
      </c>
      <c r="L36" s="58" t="s">
        <v>35</v>
      </c>
      <c r="M36" s="58">
        <v>2024</v>
      </c>
      <c r="N36" s="58" t="s">
        <v>37</v>
      </c>
      <c r="O36" s="58">
        <v>0</v>
      </c>
      <c r="P36" s="58">
        <v>0</v>
      </c>
      <c r="Q36" s="70" t="s">
        <v>57</v>
      </c>
    </row>
    <row r="37" spans="1:17" x14ac:dyDescent="0.25">
      <c r="A37" s="59" t="s">
        <v>6</v>
      </c>
      <c r="B37" s="58" t="s">
        <v>53</v>
      </c>
      <c r="C37" s="58" t="s">
        <v>36</v>
      </c>
      <c r="D37" s="58" t="s">
        <v>128</v>
      </c>
      <c r="E37" s="58" t="s">
        <v>129</v>
      </c>
      <c r="F37" s="58" t="s">
        <v>7</v>
      </c>
      <c r="G37" s="58" t="s">
        <v>10</v>
      </c>
      <c r="H37" s="71">
        <v>1E-3</v>
      </c>
      <c r="I37" s="71">
        <v>0.99</v>
      </c>
      <c r="J37" s="58">
        <v>9.2999999999999999E-2</v>
      </c>
      <c r="K37" s="58">
        <v>0.05</v>
      </c>
      <c r="L37" s="58">
        <v>2035</v>
      </c>
      <c r="M37" s="58">
        <v>2024</v>
      </c>
      <c r="N37" s="58" t="s">
        <v>35</v>
      </c>
      <c r="O37" s="58" t="s">
        <v>35</v>
      </c>
      <c r="P37" s="58" t="s">
        <v>35</v>
      </c>
      <c r="Q37" s="70" t="s">
        <v>64</v>
      </c>
    </row>
    <row r="38" spans="1:17" x14ac:dyDescent="0.25">
      <c r="A38" s="59" t="s">
        <v>6</v>
      </c>
      <c r="B38" s="58" t="s">
        <v>53</v>
      </c>
      <c r="C38" s="58" t="s">
        <v>36</v>
      </c>
      <c r="D38" s="58" t="s">
        <v>130</v>
      </c>
      <c r="E38" s="58" t="s">
        <v>131</v>
      </c>
      <c r="F38" s="58" t="s">
        <v>10</v>
      </c>
      <c r="G38" s="58" t="s">
        <v>7</v>
      </c>
      <c r="H38" s="58" t="s">
        <v>35</v>
      </c>
      <c r="I38" s="58" t="s">
        <v>35</v>
      </c>
      <c r="J38" s="58" t="s">
        <v>35</v>
      </c>
      <c r="K38" s="58" t="s">
        <v>35</v>
      </c>
      <c r="L38" s="58" t="s">
        <v>35</v>
      </c>
      <c r="M38" s="58">
        <v>2024</v>
      </c>
      <c r="N38" s="58" t="s">
        <v>37</v>
      </c>
      <c r="O38" s="58">
        <v>0</v>
      </c>
      <c r="P38" s="58">
        <v>0</v>
      </c>
      <c r="Q38" s="70" t="s">
        <v>67</v>
      </c>
    </row>
    <row r="39" spans="1:17" ht="15.75" thickBot="1" x14ac:dyDescent="0.3">
      <c r="A39" s="60" t="s">
        <v>6</v>
      </c>
      <c r="B39" s="61" t="s">
        <v>53</v>
      </c>
      <c r="C39" s="61" t="s">
        <v>132</v>
      </c>
      <c r="D39" s="61" t="s">
        <v>133</v>
      </c>
      <c r="E39" s="61" t="s">
        <v>134</v>
      </c>
      <c r="F39" s="61" t="s">
        <v>10</v>
      </c>
      <c r="G39" s="61" t="s">
        <v>7</v>
      </c>
      <c r="H39" s="61" t="s">
        <v>35</v>
      </c>
      <c r="I39" s="61" t="s">
        <v>35</v>
      </c>
      <c r="J39" s="61" t="s">
        <v>35</v>
      </c>
      <c r="K39" s="61" t="s">
        <v>35</v>
      </c>
      <c r="L39" s="61" t="s">
        <v>35</v>
      </c>
      <c r="M39" s="61">
        <v>2024</v>
      </c>
      <c r="N39" s="61" t="s">
        <v>37</v>
      </c>
      <c r="O39" s="61">
        <v>0</v>
      </c>
      <c r="P39" s="61">
        <v>0</v>
      </c>
      <c r="Q39" s="72" t="s">
        <v>67</v>
      </c>
    </row>
  </sheetData>
  <autoFilter ref="A1:Q1" xr:uid="{06AEFB00-1289-4B8E-87A3-B856D2DE3F1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0582-8E84-4795-90E6-91E6C5CD9C07}">
  <dimension ref="A1:BU32"/>
  <sheetViews>
    <sheetView zoomScale="90" zoomScaleNormal="90" workbookViewId="0">
      <pane ySplit="1" topLeftCell="A2" activePane="bottomLeft" state="frozen"/>
      <selection activeCell="D1" sqref="D1"/>
      <selection pane="bottomLeft" activeCell="B14" sqref="B14"/>
    </sheetView>
  </sheetViews>
  <sheetFormatPr defaultColWidth="8.85546875" defaultRowHeight="15" x14ac:dyDescent="0.25"/>
  <cols>
    <col min="1" max="1" width="28.7109375" style="28" customWidth="1"/>
    <col min="2" max="2" width="53.85546875" style="28" customWidth="1"/>
    <col min="3" max="3" width="39.7109375" style="28" customWidth="1"/>
    <col min="4" max="4" width="66.85546875" style="28" customWidth="1"/>
    <col min="5" max="5" width="19.28515625" style="28" customWidth="1"/>
    <col min="6" max="6" width="23.42578125" style="28" customWidth="1"/>
    <col min="7" max="7" width="20.28515625" style="28" customWidth="1"/>
    <col min="8" max="8" width="8.7109375" style="28" customWidth="1"/>
    <col min="9" max="9" width="24.7109375" style="28" customWidth="1"/>
    <col min="10" max="10" width="20.28515625" style="28" customWidth="1"/>
    <col min="11" max="11" width="17.42578125" style="28" customWidth="1"/>
    <col min="12" max="14" width="17.42578125" style="28" bestFit="1" customWidth="1"/>
    <col min="15" max="15" width="17.42578125" style="28" customWidth="1"/>
    <col min="16" max="18" width="17.42578125" style="28" bestFit="1" customWidth="1"/>
    <col min="19" max="19" width="12" style="28" customWidth="1"/>
    <col min="20" max="43" width="12" style="28" bestFit="1" customWidth="1"/>
    <col min="44" max="16384" width="8.85546875" style="28"/>
  </cols>
  <sheetData>
    <row r="1" spans="1:73" s="141" customFormat="1" ht="30.75" thickBot="1" x14ac:dyDescent="0.3">
      <c r="A1" s="133" t="s">
        <v>14</v>
      </c>
      <c r="B1" s="134" t="s">
        <v>11</v>
      </c>
      <c r="C1" s="134" t="s">
        <v>20</v>
      </c>
      <c r="D1" s="134" t="s">
        <v>39</v>
      </c>
      <c r="E1" s="134" t="s">
        <v>40</v>
      </c>
      <c r="F1" s="134" t="s">
        <v>3</v>
      </c>
      <c r="G1" s="135" t="s">
        <v>47</v>
      </c>
      <c r="H1" s="136" t="s">
        <v>30</v>
      </c>
      <c r="I1" s="137" t="s">
        <v>43</v>
      </c>
      <c r="J1" s="138" t="s">
        <v>44</v>
      </c>
      <c r="K1" s="139">
        <v>2018</v>
      </c>
      <c r="L1" s="134">
        <v>2019</v>
      </c>
      <c r="M1" s="134">
        <v>2020</v>
      </c>
      <c r="N1" s="134">
        <v>2021</v>
      </c>
      <c r="O1" s="134">
        <v>2022</v>
      </c>
      <c r="P1" s="134">
        <v>2023</v>
      </c>
      <c r="Q1" s="134">
        <v>2024</v>
      </c>
      <c r="R1" s="134">
        <v>2025</v>
      </c>
      <c r="S1" s="134">
        <v>2026</v>
      </c>
      <c r="T1" s="134">
        <v>2027</v>
      </c>
      <c r="U1" s="134">
        <v>2028</v>
      </c>
      <c r="V1" s="134">
        <v>2029</v>
      </c>
      <c r="W1" s="134">
        <v>2030</v>
      </c>
      <c r="X1" s="134">
        <v>2031</v>
      </c>
      <c r="Y1" s="134">
        <v>2032</v>
      </c>
      <c r="Z1" s="134">
        <v>2033</v>
      </c>
      <c r="AA1" s="134">
        <v>2034</v>
      </c>
      <c r="AB1" s="134">
        <v>2035</v>
      </c>
      <c r="AC1" s="134">
        <v>2036</v>
      </c>
      <c r="AD1" s="134">
        <v>2037</v>
      </c>
      <c r="AE1" s="134">
        <v>2038</v>
      </c>
      <c r="AF1" s="134">
        <v>2039</v>
      </c>
      <c r="AG1" s="134">
        <v>2040</v>
      </c>
      <c r="AH1" s="134">
        <v>2041</v>
      </c>
      <c r="AI1" s="134">
        <v>2042</v>
      </c>
      <c r="AJ1" s="134">
        <v>2043</v>
      </c>
      <c r="AK1" s="134">
        <v>2044</v>
      </c>
      <c r="AL1" s="134">
        <v>2045</v>
      </c>
      <c r="AM1" s="134">
        <v>2046</v>
      </c>
      <c r="AN1" s="134">
        <v>2047</v>
      </c>
      <c r="AO1" s="134">
        <v>2048</v>
      </c>
      <c r="AP1" s="134">
        <v>2049</v>
      </c>
      <c r="AQ1" s="140">
        <v>2050</v>
      </c>
    </row>
    <row r="2" spans="1:73" s="82" customFormat="1" ht="15.75" thickBot="1" x14ac:dyDescent="0.3">
      <c r="A2" s="80" t="s">
        <v>6</v>
      </c>
      <c r="B2" s="80" t="s">
        <v>136</v>
      </c>
      <c r="C2" s="80" t="s">
        <v>50</v>
      </c>
      <c r="D2" s="80" t="s">
        <v>137</v>
      </c>
      <c r="E2" s="80" t="s">
        <v>7</v>
      </c>
      <c r="F2" s="80" t="s">
        <v>135</v>
      </c>
      <c r="G2" s="80" t="s">
        <v>138</v>
      </c>
      <c r="H2" s="81"/>
      <c r="I2" s="81"/>
      <c r="J2" s="81"/>
      <c r="K2" s="83">
        <v>0.15614676</v>
      </c>
      <c r="L2" s="83">
        <v>0.15614676</v>
      </c>
      <c r="M2" s="83">
        <v>0.13728230999999999</v>
      </c>
      <c r="N2" s="83">
        <v>0.13728230999999999</v>
      </c>
      <c r="O2" s="83">
        <v>0.13728230999999999</v>
      </c>
      <c r="P2" s="83">
        <v>0.13728230999999999</v>
      </c>
      <c r="Q2" s="83">
        <v>0.13728230999999999</v>
      </c>
      <c r="R2" s="83">
        <v>0.13728230999999999</v>
      </c>
      <c r="S2" s="83">
        <v>0.13728230999999999</v>
      </c>
      <c r="T2" s="83">
        <v>0.13728230999999999</v>
      </c>
      <c r="U2" s="83">
        <v>0.13728230999999999</v>
      </c>
      <c r="V2" s="83">
        <v>0.13728230999999999</v>
      </c>
      <c r="W2" s="83">
        <v>0.13728230999999999</v>
      </c>
      <c r="X2" s="83">
        <v>0.13728230999999999</v>
      </c>
      <c r="Y2" s="83">
        <v>0.13728230999999999</v>
      </c>
      <c r="Z2" s="83">
        <v>0.13728230999999999</v>
      </c>
      <c r="AA2" s="83">
        <v>0.13728230999999999</v>
      </c>
      <c r="AB2" s="83">
        <v>0.13728230999999999</v>
      </c>
      <c r="AC2" s="83">
        <v>0.13728230999999999</v>
      </c>
      <c r="AD2" s="83">
        <v>0.13728230999999999</v>
      </c>
      <c r="AE2" s="83">
        <v>0.13728230999999999</v>
      </c>
      <c r="AF2" s="83">
        <v>0.13728230999999999</v>
      </c>
      <c r="AG2" s="83">
        <v>0.13728230999999999</v>
      </c>
      <c r="AH2" s="83">
        <v>0.13728230999999999</v>
      </c>
      <c r="AI2" s="83">
        <v>0.13728230999999999</v>
      </c>
      <c r="AJ2" s="83">
        <v>0.13728230999999999</v>
      </c>
      <c r="AK2" s="83">
        <v>0.13728230999999999</v>
      </c>
      <c r="AL2" s="83">
        <v>0.13728230999999999</v>
      </c>
      <c r="AM2" s="83">
        <v>0.13728230999999999</v>
      </c>
      <c r="AN2" s="83">
        <v>0.13728230999999999</v>
      </c>
      <c r="AO2" s="83">
        <v>0.13728230999999999</v>
      </c>
      <c r="AP2" s="83">
        <v>0.13728230999999999</v>
      </c>
      <c r="AQ2" s="83">
        <v>0.13728230999999999</v>
      </c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</row>
    <row r="3" spans="1:73" s="106" customFormat="1" x14ac:dyDescent="0.25">
      <c r="A3" s="105" t="s">
        <v>6</v>
      </c>
      <c r="B3" s="106" t="s">
        <v>136</v>
      </c>
      <c r="C3" s="107" t="s">
        <v>139</v>
      </c>
      <c r="E3" s="108" t="s">
        <v>7</v>
      </c>
      <c r="F3" s="108" t="s">
        <v>135</v>
      </c>
      <c r="G3" s="108" t="s">
        <v>138</v>
      </c>
      <c r="K3" s="118">
        <v>3.2879</v>
      </c>
      <c r="L3" s="118">
        <v>3.1558999999999999</v>
      </c>
      <c r="M3" s="118">
        <v>3.0705</v>
      </c>
      <c r="N3" s="118">
        <v>3.1671</v>
      </c>
      <c r="O3" s="118">
        <v>3.2427000000000001</v>
      </c>
      <c r="P3" s="118">
        <v>3.1848000000000001</v>
      </c>
      <c r="Q3" s="118">
        <v>3.1848000000000001</v>
      </c>
      <c r="R3" s="118">
        <v>3.1848000000000001</v>
      </c>
      <c r="S3" s="118">
        <v>3.1848000000000001</v>
      </c>
      <c r="T3" s="118">
        <v>3.1848000000000001</v>
      </c>
      <c r="U3" s="118">
        <v>3.1848000000000001</v>
      </c>
      <c r="V3" s="118">
        <v>3.1848000000000001</v>
      </c>
      <c r="W3" s="118">
        <v>3.1848000000000001</v>
      </c>
      <c r="X3" s="118">
        <v>3.1848000000000001</v>
      </c>
      <c r="Y3" s="118">
        <v>3.1848000000000001</v>
      </c>
      <c r="Z3" s="118">
        <v>3.1848000000000001</v>
      </c>
      <c r="AA3" s="118">
        <v>3.1848000000000001</v>
      </c>
      <c r="AB3" s="118">
        <v>3.1848000000000001</v>
      </c>
      <c r="AC3" s="118">
        <v>3.1848000000000001</v>
      </c>
      <c r="AD3" s="118">
        <v>3.1848000000000001</v>
      </c>
      <c r="AE3" s="118">
        <v>3.1848000000000001</v>
      </c>
      <c r="AF3" s="118">
        <v>3.1848000000000001</v>
      </c>
      <c r="AG3" s="118">
        <v>3.1848000000000001</v>
      </c>
      <c r="AH3" s="118">
        <v>3.1848000000000001</v>
      </c>
      <c r="AI3" s="118">
        <v>3.1848000000000001</v>
      </c>
      <c r="AJ3" s="118">
        <v>3.1848000000000001</v>
      </c>
      <c r="AK3" s="118">
        <v>3.1848000000000001</v>
      </c>
      <c r="AL3" s="118">
        <v>3.1848000000000001</v>
      </c>
      <c r="AM3" s="118">
        <v>3.1848000000000001</v>
      </c>
      <c r="AN3" s="118">
        <v>3.1848000000000001</v>
      </c>
      <c r="AO3" s="118">
        <v>3.1848000000000001</v>
      </c>
      <c r="AP3" s="118">
        <v>3.1848000000000001</v>
      </c>
      <c r="AQ3" s="118">
        <v>3.1848000000000001</v>
      </c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</row>
    <row r="4" spans="1:73" s="94" customFormat="1" x14ac:dyDescent="0.25">
      <c r="A4" s="109" t="s">
        <v>6</v>
      </c>
      <c r="B4" s="94" t="s">
        <v>136</v>
      </c>
      <c r="C4" s="96" t="s">
        <v>140</v>
      </c>
      <c r="E4" s="95" t="s">
        <v>7</v>
      </c>
      <c r="F4" s="95" t="s">
        <v>135</v>
      </c>
      <c r="G4" s="95" t="s">
        <v>138</v>
      </c>
      <c r="K4" s="119">
        <v>0.106</v>
      </c>
      <c r="L4" s="119">
        <v>0.1192</v>
      </c>
      <c r="M4" s="119">
        <v>4.2946</v>
      </c>
      <c r="N4" s="119">
        <v>3.3010999999999999</v>
      </c>
      <c r="O4" s="119">
        <v>3.2105000000000001</v>
      </c>
      <c r="P4" s="119">
        <v>2.2063000000000001</v>
      </c>
      <c r="Q4" s="119">
        <v>2.2063000000000001</v>
      </c>
      <c r="R4" s="119">
        <v>2.2063000000000001</v>
      </c>
      <c r="S4" s="119">
        <v>2.2063000000000001</v>
      </c>
      <c r="T4" s="119">
        <v>2.2063000000000001</v>
      </c>
      <c r="U4" s="119">
        <v>2.2063000000000001</v>
      </c>
      <c r="V4" s="119">
        <v>2.2063000000000001</v>
      </c>
      <c r="W4" s="119">
        <v>2.2063000000000001</v>
      </c>
      <c r="X4" s="119">
        <v>2.2063000000000001</v>
      </c>
      <c r="Y4" s="119">
        <v>2.2063000000000001</v>
      </c>
      <c r="Z4" s="119">
        <v>2.2063000000000001</v>
      </c>
      <c r="AA4" s="119">
        <v>2.2063000000000001</v>
      </c>
      <c r="AB4" s="119">
        <v>2.2063000000000001</v>
      </c>
      <c r="AC4" s="119">
        <v>2.2063000000000001</v>
      </c>
      <c r="AD4" s="119">
        <v>2.2063000000000001</v>
      </c>
      <c r="AE4" s="119">
        <v>2.2063000000000001</v>
      </c>
      <c r="AF4" s="119">
        <v>2.2063000000000001</v>
      </c>
      <c r="AG4" s="119">
        <v>2.2063000000000001</v>
      </c>
      <c r="AH4" s="119">
        <v>2.2063000000000001</v>
      </c>
      <c r="AI4" s="119">
        <v>2.2063000000000001</v>
      </c>
      <c r="AJ4" s="119">
        <v>2.2063000000000001</v>
      </c>
      <c r="AK4" s="119">
        <v>2.2063000000000001</v>
      </c>
      <c r="AL4" s="119">
        <v>2.2063000000000001</v>
      </c>
      <c r="AM4" s="119">
        <v>2.2063000000000001</v>
      </c>
      <c r="AN4" s="119">
        <v>2.2063000000000001</v>
      </c>
      <c r="AO4" s="119">
        <v>2.2063000000000001</v>
      </c>
      <c r="AP4" s="119">
        <v>2.2063000000000001</v>
      </c>
      <c r="AQ4" s="119">
        <v>2.2063000000000001</v>
      </c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</row>
    <row r="5" spans="1:73" s="94" customFormat="1" x14ac:dyDescent="0.25">
      <c r="A5" s="109" t="s">
        <v>6</v>
      </c>
      <c r="B5" s="94" t="s">
        <v>136</v>
      </c>
      <c r="C5" s="96" t="s">
        <v>141</v>
      </c>
      <c r="E5" s="95" t="s">
        <v>7</v>
      </c>
      <c r="F5" s="95" t="s">
        <v>135</v>
      </c>
      <c r="G5" s="95" t="s">
        <v>138</v>
      </c>
      <c r="K5" s="119">
        <v>1.1668000000000001</v>
      </c>
      <c r="L5" s="119">
        <v>1.1618999999999999</v>
      </c>
      <c r="M5" s="119">
        <v>1.0650999999999999</v>
      </c>
      <c r="N5" s="119">
        <v>1.0125999999999999</v>
      </c>
      <c r="O5" s="119">
        <v>0.98480000000000001</v>
      </c>
      <c r="P5" s="119">
        <v>1.0783</v>
      </c>
      <c r="Q5" s="119">
        <v>1.0783</v>
      </c>
      <c r="R5" s="119">
        <v>1.0783</v>
      </c>
      <c r="S5" s="119">
        <v>1.0783</v>
      </c>
      <c r="T5" s="119">
        <v>1.0783</v>
      </c>
      <c r="U5" s="119">
        <v>1.0783</v>
      </c>
      <c r="V5" s="119">
        <v>1.0783</v>
      </c>
      <c r="W5" s="119">
        <v>1.0783</v>
      </c>
      <c r="X5" s="119">
        <v>1.0783</v>
      </c>
      <c r="Y5" s="119">
        <v>1.0783</v>
      </c>
      <c r="Z5" s="119">
        <v>1.0783</v>
      </c>
      <c r="AA5" s="119">
        <v>1.0783</v>
      </c>
      <c r="AB5" s="119">
        <v>1.0783</v>
      </c>
      <c r="AC5" s="119">
        <v>1.0783</v>
      </c>
      <c r="AD5" s="119">
        <v>1.0783</v>
      </c>
      <c r="AE5" s="119">
        <v>1.0783</v>
      </c>
      <c r="AF5" s="119">
        <v>1.0783</v>
      </c>
      <c r="AG5" s="119">
        <v>1.0783</v>
      </c>
      <c r="AH5" s="119">
        <v>1.0783</v>
      </c>
      <c r="AI5" s="119">
        <v>1.0783</v>
      </c>
      <c r="AJ5" s="119">
        <v>1.0783</v>
      </c>
      <c r="AK5" s="119">
        <v>1.0783</v>
      </c>
      <c r="AL5" s="119">
        <v>1.0783</v>
      </c>
      <c r="AM5" s="119">
        <v>1.0783</v>
      </c>
      <c r="AN5" s="119">
        <v>1.0783</v>
      </c>
      <c r="AO5" s="119">
        <v>1.0783</v>
      </c>
      <c r="AP5" s="119">
        <v>1.0783</v>
      </c>
      <c r="AQ5" s="119">
        <v>1.0783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</row>
    <row r="6" spans="1:73" s="94" customFormat="1" x14ac:dyDescent="0.25">
      <c r="A6" s="109" t="s">
        <v>6</v>
      </c>
      <c r="B6" s="94" t="s">
        <v>136</v>
      </c>
      <c r="C6" s="96" t="s">
        <v>142</v>
      </c>
      <c r="E6" s="95" t="s">
        <v>7</v>
      </c>
      <c r="F6" s="95" t="s">
        <v>135</v>
      </c>
      <c r="G6" s="95" t="s">
        <v>138</v>
      </c>
      <c r="K6" s="119">
        <v>1.0800000000000001E-2</v>
      </c>
      <c r="L6" s="119">
        <v>1.4E-2</v>
      </c>
      <c r="M6" s="119">
        <v>1.84E-2</v>
      </c>
      <c r="N6" s="119">
        <v>1.55E-2</v>
      </c>
      <c r="O6" s="119">
        <v>1.4999999999999999E-2</v>
      </c>
      <c r="P6" s="119">
        <v>1.47E-2</v>
      </c>
      <c r="Q6" s="119">
        <v>1.47E-2</v>
      </c>
      <c r="R6" s="119">
        <v>1.47E-2</v>
      </c>
      <c r="S6" s="119">
        <v>1.47E-2</v>
      </c>
      <c r="T6" s="119">
        <v>1.47E-2</v>
      </c>
      <c r="U6" s="119">
        <v>1.47E-2</v>
      </c>
      <c r="V6" s="119">
        <v>1.47E-2</v>
      </c>
      <c r="W6" s="119">
        <v>1.47E-2</v>
      </c>
      <c r="X6" s="119">
        <v>1.47E-2</v>
      </c>
      <c r="Y6" s="119">
        <v>1.47E-2</v>
      </c>
      <c r="Z6" s="119">
        <v>1.47E-2</v>
      </c>
      <c r="AA6" s="119">
        <v>1.47E-2</v>
      </c>
      <c r="AB6" s="119">
        <v>1.47E-2</v>
      </c>
      <c r="AC6" s="119">
        <v>1.47E-2</v>
      </c>
      <c r="AD6" s="119">
        <v>1.47E-2</v>
      </c>
      <c r="AE6" s="119">
        <v>1.47E-2</v>
      </c>
      <c r="AF6" s="119">
        <v>1.47E-2</v>
      </c>
      <c r="AG6" s="119">
        <v>1.47E-2</v>
      </c>
      <c r="AH6" s="119">
        <v>1.47E-2</v>
      </c>
      <c r="AI6" s="119">
        <v>1.47E-2</v>
      </c>
      <c r="AJ6" s="119">
        <v>1.47E-2</v>
      </c>
      <c r="AK6" s="119">
        <v>1.47E-2</v>
      </c>
      <c r="AL6" s="119">
        <v>1.47E-2</v>
      </c>
      <c r="AM6" s="119">
        <v>1.47E-2</v>
      </c>
      <c r="AN6" s="119">
        <v>1.47E-2</v>
      </c>
      <c r="AO6" s="119">
        <v>1.47E-2</v>
      </c>
      <c r="AP6" s="119">
        <v>1.47E-2</v>
      </c>
      <c r="AQ6" s="119">
        <v>1.47E-2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</row>
    <row r="7" spans="1:73" s="94" customFormat="1" x14ac:dyDescent="0.25">
      <c r="A7" s="109" t="s">
        <v>6</v>
      </c>
      <c r="B7" s="94" t="s">
        <v>136</v>
      </c>
      <c r="C7" s="96" t="s">
        <v>143</v>
      </c>
      <c r="E7" s="95" t="s">
        <v>7</v>
      </c>
      <c r="F7" s="95" t="s">
        <v>135</v>
      </c>
      <c r="G7" s="95" t="s">
        <v>138</v>
      </c>
      <c r="K7" s="119">
        <v>9.0499999999999997E-2</v>
      </c>
      <c r="L7" s="119">
        <v>8.8800000000000004E-2</v>
      </c>
      <c r="M7" s="119">
        <v>7.8799999999999995E-2</v>
      </c>
      <c r="N7" s="119">
        <v>7.7200000000000005E-2</v>
      </c>
      <c r="O7" s="119">
        <v>7.51E-2</v>
      </c>
      <c r="P7" s="119">
        <v>8.2100000000000006E-2</v>
      </c>
      <c r="Q7" s="119">
        <v>8.2100000000000006E-2</v>
      </c>
      <c r="R7" s="119">
        <v>8.2100000000000006E-2</v>
      </c>
      <c r="S7" s="119">
        <v>8.2100000000000006E-2</v>
      </c>
      <c r="T7" s="119">
        <v>8.2100000000000006E-2</v>
      </c>
      <c r="U7" s="119">
        <v>8.2100000000000006E-2</v>
      </c>
      <c r="V7" s="119">
        <v>8.2100000000000006E-2</v>
      </c>
      <c r="W7" s="119">
        <v>8.2100000000000006E-2</v>
      </c>
      <c r="X7" s="119">
        <v>8.2100000000000006E-2</v>
      </c>
      <c r="Y7" s="119">
        <v>8.2100000000000006E-2</v>
      </c>
      <c r="Z7" s="119">
        <v>8.2100000000000006E-2</v>
      </c>
      <c r="AA7" s="119">
        <v>8.2100000000000006E-2</v>
      </c>
      <c r="AB7" s="119">
        <v>8.2100000000000006E-2</v>
      </c>
      <c r="AC7" s="119">
        <v>8.2100000000000006E-2</v>
      </c>
      <c r="AD7" s="119">
        <v>8.2100000000000006E-2</v>
      </c>
      <c r="AE7" s="119">
        <v>8.2100000000000006E-2</v>
      </c>
      <c r="AF7" s="119">
        <v>8.2100000000000006E-2</v>
      </c>
      <c r="AG7" s="119">
        <v>8.2100000000000006E-2</v>
      </c>
      <c r="AH7" s="119">
        <v>8.2100000000000006E-2</v>
      </c>
      <c r="AI7" s="119">
        <v>8.2100000000000006E-2</v>
      </c>
      <c r="AJ7" s="119">
        <v>8.2100000000000006E-2</v>
      </c>
      <c r="AK7" s="119">
        <v>8.2100000000000006E-2</v>
      </c>
      <c r="AL7" s="119">
        <v>8.2100000000000006E-2</v>
      </c>
      <c r="AM7" s="119">
        <v>8.2100000000000006E-2</v>
      </c>
      <c r="AN7" s="119">
        <v>8.2100000000000006E-2</v>
      </c>
      <c r="AO7" s="119">
        <v>8.2100000000000006E-2</v>
      </c>
      <c r="AP7" s="119">
        <v>8.2100000000000006E-2</v>
      </c>
      <c r="AQ7" s="119">
        <v>8.2100000000000006E-2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</row>
    <row r="8" spans="1:73" s="94" customFormat="1" x14ac:dyDescent="0.25">
      <c r="A8" s="109" t="s">
        <v>6</v>
      </c>
      <c r="B8" s="94" t="s">
        <v>136</v>
      </c>
      <c r="C8" s="96" t="s">
        <v>144</v>
      </c>
      <c r="E8" s="95" t="s">
        <v>7</v>
      </c>
      <c r="F8" s="95" t="s">
        <v>135</v>
      </c>
      <c r="G8" s="95" t="s">
        <v>138</v>
      </c>
      <c r="K8" s="119">
        <v>0.88009999999999999</v>
      </c>
      <c r="L8" s="119">
        <v>0.88019999999999998</v>
      </c>
      <c r="M8" s="119">
        <v>0.87680000000000002</v>
      </c>
      <c r="N8" s="119">
        <v>0.83199999999999996</v>
      </c>
      <c r="O8" s="119">
        <v>0.80920000000000003</v>
      </c>
      <c r="P8" s="119">
        <v>0.85570000000000002</v>
      </c>
      <c r="Q8" s="119">
        <v>0.85570000000000002</v>
      </c>
      <c r="R8" s="119">
        <v>0.85570000000000002</v>
      </c>
      <c r="S8" s="119">
        <v>0.85570000000000002</v>
      </c>
      <c r="T8" s="119">
        <v>0.85570000000000002</v>
      </c>
      <c r="U8" s="119">
        <v>0.85570000000000002</v>
      </c>
      <c r="V8" s="119">
        <v>0.85570000000000002</v>
      </c>
      <c r="W8" s="119">
        <v>0.85570000000000002</v>
      </c>
      <c r="X8" s="119">
        <v>0.85570000000000002</v>
      </c>
      <c r="Y8" s="119">
        <v>0.85570000000000002</v>
      </c>
      <c r="Z8" s="119">
        <v>0.85570000000000002</v>
      </c>
      <c r="AA8" s="119">
        <v>0.85570000000000002</v>
      </c>
      <c r="AB8" s="119">
        <v>0.85570000000000002</v>
      </c>
      <c r="AC8" s="119">
        <v>0.85570000000000002</v>
      </c>
      <c r="AD8" s="119">
        <v>0.85570000000000002</v>
      </c>
      <c r="AE8" s="119">
        <v>0.85570000000000002</v>
      </c>
      <c r="AF8" s="119">
        <v>0.85570000000000002</v>
      </c>
      <c r="AG8" s="119">
        <v>0.85570000000000002</v>
      </c>
      <c r="AH8" s="119">
        <v>0.85570000000000002</v>
      </c>
      <c r="AI8" s="119">
        <v>0.85570000000000002</v>
      </c>
      <c r="AJ8" s="119">
        <v>0.85570000000000002</v>
      </c>
      <c r="AK8" s="119">
        <v>0.85570000000000002</v>
      </c>
      <c r="AL8" s="119">
        <v>0.85570000000000002</v>
      </c>
      <c r="AM8" s="119">
        <v>0.85570000000000002</v>
      </c>
      <c r="AN8" s="119">
        <v>0.85570000000000002</v>
      </c>
      <c r="AO8" s="119">
        <v>0.85570000000000002</v>
      </c>
      <c r="AP8" s="119">
        <v>0.85570000000000002</v>
      </c>
      <c r="AQ8" s="119">
        <v>0.85570000000000002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</row>
    <row r="9" spans="1:73" s="94" customFormat="1" x14ac:dyDescent="0.25">
      <c r="A9" s="109" t="s">
        <v>6</v>
      </c>
      <c r="B9" s="94" t="s">
        <v>136</v>
      </c>
      <c r="C9" s="96" t="s">
        <v>145</v>
      </c>
      <c r="E9" s="95" t="s">
        <v>7</v>
      </c>
      <c r="F9" s="95" t="s">
        <v>135</v>
      </c>
      <c r="G9" s="95" t="s">
        <v>138</v>
      </c>
      <c r="K9" s="119">
        <v>1.0880000000000001</v>
      </c>
      <c r="L9" s="119">
        <v>1.0779000000000001</v>
      </c>
      <c r="M9" s="119">
        <v>1.1541999999999999</v>
      </c>
      <c r="N9" s="119">
        <v>1.0570999999999999</v>
      </c>
      <c r="O9" s="119">
        <v>1.0281</v>
      </c>
      <c r="P9" s="119">
        <v>1.0810999999999999</v>
      </c>
      <c r="Q9" s="119">
        <v>1.0810999999999999</v>
      </c>
      <c r="R9" s="119">
        <v>1.0810999999999999</v>
      </c>
      <c r="S9" s="119">
        <v>1.0810999999999999</v>
      </c>
      <c r="T9" s="119">
        <v>1.0810999999999999</v>
      </c>
      <c r="U9" s="119">
        <v>1.0810999999999999</v>
      </c>
      <c r="V9" s="119">
        <v>1.0810999999999999</v>
      </c>
      <c r="W9" s="119">
        <v>1.0810999999999999</v>
      </c>
      <c r="X9" s="119">
        <v>1.0810999999999999</v>
      </c>
      <c r="Y9" s="119">
        <v>1.0810999999999999</v>
      </c>
      <c r="Z9" s="119">
        <v>1.0810999999999999</v>
      </c>
      <c r="AA9" s="119">
        <v>1.0810999999999999</v>
      </c>
      <c r="AB9" s="119">
        <v>1.0810999999999999</v>
      </c>
      <c r="AC9" s="119">
        <v>1.0810999999999999</v>
      </c>
      <c r="AD9" s="119">
        <v>1.0810999999999999</v>
      </c>
      <c r="AE9" s="119">
        <v>1.0810999999999999</v>
      </c>
      <c r="AF9" s="119">
        <v>1.0810999999999999</v>
      </c>
      <c r="AG9" s="119">
        <v>1.0810999999999999</v>
      </c>
      <c r="AH9" s="119">
        <v>1.0810999999999999</v>
      </c>
      <c r="AI9" s="119">
        <v>1.0810999999999999</v>
      </c>
      <c r="AJ9" s="119">
        <v>1.0810999999999999</v>
      </c>
      <c r="AK9" s="119">
        <v>1.0810999999999999</v>
      </c>
      <c r="AL9" s="119">
        <v>1.0810999999999999</v>
      </c>
      <c r="AM9" s="119">
        <v>1.0810999999999999</v>
      </c>
      <c r="AN9" s="119">
        <v>1.0810999999999999</v>
      </c>
      <c r="AO9" s="119">
        <v>1.0810999999999999</v>
      </c>
      <c r="AP9" s="119">
        <v>1.0810999999999999</v>
      </c>
      <c r="AQ9" s="119">
        <v>1.0810999999999999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</row>
    <row r="10" spans="1:73" s="94" customFormat="1" x14ac:dyDescent="0.25">
      <c r="A10" s="109" t="s">
        <v>6</v>
      </c>
      <c r="B10" s="94" t="s">
        <v>136</v>
      </c>
      <c r="C10" s="96" t="s">
        <v>146</v>
      </c>
      <c r="E10" s="95" t="s">
        <v>7</v>
      </c>
      <c r="F10" s="95" t="s">
        <v>135</v>
      </c>
      <c r="G10" s="95" t="s">
        <v>138</v>
      </c>
      <c r="K10" s="119">
        <v>2.1785999999999999</v>
      </c>
      <c r="L10" s="119">
        <v>1.7121999999999999</v>
      </c>
      <c r="M10" s="119">
        <v>1.7431000000000001</v>
      </c>
      <c r="N10" s="119">
        <v>1.7256</v>
      </c>
      <c r="O10" s="119">
        <v>1.6781999999999999</v>
      </c>
      <c r="P10" s="119">
        <v>1.8076000000000001</v>
      </c>
      <c r="Q10" s="119">
        <v>1.8076000000000001</v>
      </c>
      <c r="R10" s="119">
        <v>1.8076000000000001</v>
      </c>
      <c r="S10" s="119">
        <v>1.8076000000000001</v>
      </c>
      <c r="T10" s="119">
        <v>1.8076000000000001</v>
      </c>
      <c r="U10" s="119">
        <v>1.8076000000000001</v>
      </c>
      <c r="V10" s="119">
        <v>1.8076000000000001</v>
      </c>
      <c r="W10" s="119">
        <v>1.8076000000000001</v>
      </c>
      <c r="X10" s="119">
        <v>1.8076000000000001</v>
      </c>
      <c r="Y10" s="119">
        <v>1.8076000000000001</v>
      </c>
      <c r="Z10" s="119">
        <v>1.8076000000000001</v>
      </c>
      <c r="AA10" s="119">
        <v>1.8076000000000001</v>
      </c>
      <c r="AB10" s="119">
        <v>1.8076000000000001</v>
      </c>
      <c r="AC10" s="119">
        <v>1.8076000000000001</v>
      </c>
      <c r="AD10" s="119">
        <v>1.8076000000000001</v>
      </c>
      <c r="AE10" s="119">
        <v>1.8076000000000001</v>
      </c>
      <c r="AF10" s="119">
        <v>1.8076000000000001</v>
      </c>
      <c r="AG10" s="119">
        <v>1.8076000000000001</v>
      </c>
      <c r="AH10" s="119">
        <v>1.8076000000000001</v>
      </c>
      <c r="AI10" s="119">
        <v>1.8076000000000001</v>
      </c>
      <c r="AJ10" s="119">
        <v>1.8076000000000001</v>
      </c>
      <c r="AK10" s="119">
        <v>1.8076000000000001</v>
      </c>
      <c r="AL10" s="119">
        <v>1.8076000000000001</v>
      </c>
      <c r="AM10" s="119">
        <v>1.8076000000000001</v>
      </c>
      <c r="AN10" s="119">
        <v>1.8076000000000001</v>
      </c>
      <c r="AO10" s="119">
        <v>1.8076000000000001</v>
      </c>
      <c r="AP10" s="119">
        <v>1.8076000000000001</v>
      </c>
      <c r="AQ10" s="119">
        <v>1.8076000000000001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8"/>
      <c r="BS10" s="28"/>
      <c r="BT10" s="28"/>
      <c r="BU10" s="28"/>
    </row>
    <row r="11" spans="1:73" s="94" customFormat="1" x14ac:dyDescent="0.25">
      <c r="A11" s="109" t="s">
        <v>6</v>
      </c>
      <c r="B11" s="94" t="s">
        <v>136</v>
      </c>
      <c r="C11" s="96" t="s">
        <v>147</v>
      </c>
      <c r="E11" s="95" t="s">
        <v>7</v>
      </c>
      <c r="F11" s="95" t="s">
        <v>135</v>
      </c>
      <c r="G11" s="95" t="s">
        <v>138</v>
      </c>
      <c r="K11" s="119">
        <v>7.2004000000000001</v>
      </c>
      <c r="L11" s="119">
        <v>7.5027999999999997</v>
      </c>
      <c r="M11" s="119">
        <v>7.2232000000000003</v>
      </c>
      <c r="N11" s="119">
        <v>7.1698000000000004</v>
      </c>
      <c r="O11" s="119">
        <v>6.9729000000000001</v>
      </c>
      <c r="P11" s="119">
        <v>7.2138</v>
      </c>
      <c r="Q11" s="119">
        <v>7.2138</v>
      </c>
      <c r="R11" s="119">
        <v>7.2138</v>
      </c>
      <c r="S11" s="119">
        <v>7.2138</v>
      </c>
      <c r="T11" s="119">
        <v>7.2138</v>
      </c>
      <c r="U11" s="119">
        <v>7.2138</v>
      </c>
      <c r="V11" s="119">
        <v>7.2138</v>
      </c>
      <c r="W11" s="119">
        <v>7.2138</v>
      </c>
      <c r="X11" s="119">
        <v>7.2138</v>
      </c>
      <c r="Y11" s="119">
        <v>7.2138</v>
      </c>
      <c r="Z11" s="119">
        <v>7.2138</v>
      </c>
      <c r="AA11" s="119">
        <v>7.2138</v>
      </c>
      <c r="AB11" s="119">
        <v>7.2138</v>
      </c>
      <c r="AC11" s="119">
        <v>7.2138</v>
      </c>
      <c r="AD11" s="119">
        <v>7.2138</v>
      </c>
      <c r="AE11" s="119">
        <v>7.2138</v>
      </c>
      <c r="AF11" s="119">
        <v>7.2138</v>
      </c>
      <c r="AG11" s="119">
        <v>7.2138</v>
      </c>
      <c r="AH11" s="119">
        <v>7.2138</v>
      </c>
      <c r="AI11" s="119">
        <v>7.2138</v>
      </c>
      <c r="AJ11" s="119">
        <v>7.2138</v>
      </c>
      <c r="AK11" s="119">
        <v>7.2138</v>
      </c>
      <c r="AL11" s="119">
        <v>7.2138</v>
      </c>
      <c r="AM11" s="119">
        <v>7.2138</v>
      </c>
      <c r="AN11" s="119">
        <v>7.2138</v>
      </c>
      <c r="AO11" s="119">
        <v>7.2138</v>
      </c>
      <c r="AP11" s="119">
        <v>7.2138</v>
      </c>
      <c r="AQ11" s="119">
        <v>7.2138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</row>
    <row r="12" spans="1:73" s="94" customFormat="1" x14ac:dyDescent="0.25">
      <c r="A12" s="109" t="s">
        <v>6</v>
      </c>
      <c r="B12" s="94" t="s">
        <v>136</v>
      </c>
      <c r="C12" s="96" t="s">
        <v>148</v>
      </c>
      <c r="E12" s="95" t="s">
        <v>7</v>
      </c>
      <c r="F12" s="95" t="s">
        <v>135</v>
      </c>
      <c r="G12" s="95" t="s">
        <v>138</v>
      </c>
      <c r="K12" s="119">
        <v>1.4187000000000001</v>
      </c>
      <c r="L12" s="119">
        <v>1.2145999999999999</v>
      </c>
      <c r="M12" s="119">
        <v>1.2228000000000001</v>
      </c>
      <c r="N12" s="119">
        <v>1.1307</v>
      </c>
      <c r="O12" s="119">
        <v>1.0995999999999999</v>
      </c>
      <c r="P12" s="119">
        <v>1.2173</v>
      </c>
      <c r="Q12" s="119">
        <v>1.2173</v>
      </c>
      <c r="R12" s="119">
        <v>1.2173</v>
      </c>
      <c r="S12" s="119">
        <v>1.2173</v>
      </c>
      <c r="T12" s="119">
        <v>1.2173</v>
      </c>
      <c r="U12" s="119">
        <v>1.2173</v>
      </c>
      <c r="V12" s="119">
        <v>1.2173</v>
      </c>
      <c r="W12" s="119">
        <v>1.2173</v>
      </c>
      <c r="X12" s="119">
        <v>1.2173</v>
      </c>
      <c r="Y12" s="119">
        <v>1.2173</v>
      </c>
      <c r="Z12" s="119">
        <v>1.2173</v>
      </c>
      <c r="AA12" s="119">
        <v>1.2173</v>
      </c>
      <c r="AB12" s="119">
        <v>1.2173</v>
      </c>
      <c r="AC12" s="119">
        <v>1.2173</v>
      </c>
      <c r="AD12" s="119">
        <v>1.2173</v>
      </c>
      <c r="AE12" s="119">
        <v>1.2173</v>
      </c>
      <c r="AF12" s="119">
        <v>1.2173</v>
      </c>
      <c r="AG12" s="119">
        <v>1.2173</v>
      </c>
      <c r="AH12" s="119">
        <v>1.2173</v>
      </c>
      <c r="AI12" s="119">
        <v>1.2173</v>
      </c>
      <c r="AJ12" s="119">
        <v>1.2173</v>
      </c>
      <c r="AK12" s="119">
        <v>1.2173</v>
      </c>
      <c r="AL12" s="119">
        <v>1.2173</v>
      </c>
      <c r="AM12" s="119">
        <v>1.2173</v>
      </c>
      <c r="AN12" s="119">
        <v>1.2173</v>
      </c>
      <c r="AO12" s="119">
        <v>1.2173</v>
      </c>
      <c r="AP12" s="119">
        <v>1.2173</v>
      </c>
      <c r="AQ12" s="119">
        <v>1.2173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</row>
    <row r="13" spans="1:73" s="94" customFormat="1" x14ac:dyDescent="0.25">
      <c r="A13" s="109" t="s">
        <v>6</v>
      </c>
      <c r="B13" s="94" t="s">
        <v>136</v>
      </c>
      <c r="C13" s="96" t="s">
        <v>149</v>
      </c>
      <c r="E13" s="95" t="s">
        <v>7</v>
      </c>
      <c r="F13" s="95" t="s">
        <v>135</v>
      </c>
      <c r="G13" s="95" t="s">
        <v>138</v>
      </c>
      <c r="K13" s="119">
        <v>0.60070000000000001</v>
      </c>
      <c r="L13" s="119">
        <v>0.61370000000000002</v>
      </c>
      <c r="M13" s="119">
        <v>0.56289999999999996</v>
      </c>
      <c r="N13" s="119">
        <v>0.53849999999999998</v>
      </c>
      <c r="O13" s="119">
        <v>0.49180000000000001</v>
      </c>
      <c r="P13" s="119">
        <v>0.5615</v>
      </c>
      <c r="Q13" s="119">
        <v>0.5615</v>
      </c>
      <c r="R13" s="119">
        <v>0.5615</v>
      </c>
      <c r="S13" s="119">
        <v>0.5615</v>
      </c>
      <c r="T13" s="119">
        <v>0.5615</v>
      </c>
      <c r="U13" s="119">
        <v>0.5615</v>
      </c>
      <c r="V13" s="119">
        <v>0.5615</v>
      </c>
      <c r="W13" s="119">
        <v>0.5615</v>
      </c>
      <c r="X13" s="119">
        <v>0.5615</v>
      </c>
      <c r="Y13" s="119">
        <v>0.5615</v>
      </c>
      <c r="Z13" s="119">
        <v>0.5615</v>
      </c>
      <c r="AA13" s="119">
        <v>0.5615</v>
      </c>
      <c r="AB13" s="119">
        <v>0.5615</v>
      </c>
      <c r="AC13" s="119">
        <v>0.5615</v>
      </c>
      <c r="AD13" s="119">
        <v>0.5615</v>
      </c>
      <c r="AE13" s="119">
        <v>0.5615</v>
      </c>
      <c r="AF13" s="119">
        <v>0.5615</v>
      </c>
      <c r="AG13" s="119">
        <v>0.5615</v>
      </c>
      <c r="AH13" s="119">
        <v>0.5615</v>
      </c>
      <c r="AI13" s="119">
        <v>0.5615</v>
      </c>
      <c r="AJ13" s="119">
        <v>0.5615</v>
      </c>
      <c r="AK13" s="119">
        <v>0.5615</v>
      </c>
      <c r="AL13" s="119">
        <v>0.5615</v>
      </c>
      <c r="AM13" s="119">
        <v>0.5615</v>
      </c>
      <c r="AN13" s="119">
        <v>0.5615</v>
      </c>
      <c r="AO13" s="119">
        <v>0.5615</v>
      </c>
      <c r="AP13" s="119">
        <v>0.5615</v>
      </c>
      <c r="AQ13" s="119">
        <v>0.5615</v>
      </c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</row>
    <row r="14" spans="1:73" s="111" customFormat="1" ht="15.75" thickBot="1" x14ac:dyDescent="0.3">
      <c r="A14" s="110" t="s">
        <v>6</v>
      </c>
      <c r="B14" s="111" t="s">
        <v>136</v>
      </c>
      <c r="C14" s="112" t="s">
        <v>150</v>
      </c>
      <c r="E14" s="113" t="s">
        <v>7</v>
      </c>
      <c r="F14" s="113" t="s">
        <v>135</v>
      </c>
      <c r="G14" s="113" t="s">
        <v>138</v>
      </c>
      <c r="K14" s="120">
        <v>0.58050259999999998</v>
      </c>
      <c r="L14" s="120">
        <v>0.58050259999999998</v>
      </c>
      <c r="M14" s="120">
        <v>0.63362218000000003</v>
      </c>
      <c r="N14" s="120">
        <v>0.61679587000000002</v>
      </c>
      <c r="O14" s="120">
        <v>0.61593830000000005</v>
      </c>
      <c r="P14" s="120">
        <v>0.60547231000000001</v>
      </c>
      <c r="Q14" s="120">
        <v>0.60547231000000001</v>
      </c>
      <c r="R14" s="120">
        <v>0.60547231000000001</v>
      </c>
      <c r="S14" s="120">
        <v>0.60547231000000001</v>
      </c>
      <c r="T14" s="120">
        <v>0.60547231000000001</v>
      </c>
      <c r="U14" s="120">
        <v>0.60547231000000001</v>
      </c>
      <c r="V14" s="120">
        <v>0.60547231000000001</v>
      </c>
      <c r="W14" s="120">
        <v>0.60547231000000001</v>
      </c>
      <c r="X14" s="120">
        <v>0.60547231000000001</v>
      </c>
      <c r="Y14" s="120">
        <v>0.60547231000000001</v>
      </c>
      <c r="Z14" s="120">
        <v>0.60547231000000001</v>
      </c>
      <c r="AA14" s="120">
        <v>0.60547231000000001</v>
      </c>
      <c r="AB14" s="120">
        <v>0.60547231000000001</v>
      </c>
      <c r="AC14" s="120">
        <v>0.60547231000000001</v>
      </c>
      <c r="AD14" s="120">
        <v>0.60547231000000001</v>
      </c>
      <c r="AE14" s="120">
        <v>0.60547231000000001</v>
      </c>
      <c r="AF14" s="120">
        <v>0.60547231000000001</v>
      </c>
      <c r="AG14" s="120">
        <v>0.60547231000000001</v>
      </c>
      <c r="AH14" s="120">
        <v>0.60547231000000001</v>
      </c>
      <c r="AI14" s="120">
        <v>0.60547231000000001</v>
      </c>
      <c r="AJ14" s="120">
        <v>0.60547231000000001</v>
      </c>
      <c r="AK14" s="120">
        <v>0.60547231000000001</v>
      </c>
      <c r="AL14" s="120">
        <v>0.60547231000000001</v>
      </c>
      <c r="AM14" s="120">
        <v>0.60547231000000001</v>
      </c>
      <c r="AN14" s="120">
        <v>0.60547231000000001</v>
      </c>
      <c r="AO14" s="120">
        <v>0.60547231000000001</v>
      </c>
      <c r="AP14" s="120">
        <v>0.60547231000000001</v>
      </c>
      <c r="AQ14" s="120">
        <v>0.60547231000000001</v>
      </c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</row>
    <row r="15" spans="1:73" s="101" customFormat="1" x14ac:dyDescent="0.25">
      <c r="A15" s="100" t="s">
        <v>6</v>
      </c>
      <c r="B15" s="101" t="s">
        <v>136</v>
      </c>
      <c r="C15" s="102" t="s">
        <v>154</v>
      </c>
      <c r="E15" s="103" t="s">
        <v>7</v>
      </c>
      <c r="F15" s="103" t="s">
        <v>135</v>
      </c>
      <c r="G15" s="103" t="s">
        <v>138</v>
      </c>
      <c r="K15" s="121">
        <v>2.5045000000000002</v>
      </c>
      <c r="L15" s="121">
        <v>2.5045000000000002</v>
      </c>
      <c r="M15" s="121">
        <v>2.5045000000000002</v>
      </c>
      <c r="N15" s="121">
        <v>2.3113000000000001</v>
      </c>
      <c r="O15" s="121">
        <v>2.3376999999999999</v>
      </c>
      <c r="P15" s="121">
        <v>2.4325000000000001</v>
      </c>
      <c r="Q15" s="121">
        <v>2.4325000000000001</v>
      </c>
      <c r="R15" s="121">
        <v>2.4325000000000001</v>
      </c>
      <c r="S15" s="121">
        <v>2.4325000000000001</v>
      </c>
      <c r="T15" s="121">
        <v>2.4325000000000001</v>
      </c>
      <c r="U15" s="121">
        <v>2.4325000000000001</v>
      </c>
      <c r="V15" s="121">
        <v>2.4325000000000001</v>
      </c>
      <c r="W15" s="121">
        <v>2.4325000000000001</v>
      </c>
      <c r="X15" s="121">
        <v>2.4325000000000001</v>
      </c>
      <c r="Y15" s="121">
        <v>2.4325000000000001</v>
      </c>
      <c r="Z15" s="121">
        <v>2.4325000000000001</v>
      </c>
      <c r="AA15" s="121">
        <v>2.4325000000000001</v>
      </c>
      <c r="AB15" s="121">
        <v>2.4325000000000001</v>
      </c>
      <c r="AC15" s="121">
        <v>2.4325000000000001</v>
      </c>
      <c r="AD15" s="121">
        <v>2.4325000000000001</v>
      </c>
      <c r="AE15" s="121">
        <v>2.4325000000000001</v>
      </c>
      <c r="AF15" s="121">
        <v>2.4325000000000001</v>
      </c>
      <c r="AG15" s="121">
        <v>2.4325000000000001</v>
      </c>
      <c r="AH15" s="121">
        <v>2.4325000000000001</v>
      </c>
      <c r="AI15" s="121">
        <v>2.4325000000000001</v>
      </c>
      <c r="AJ15" s="121">
        <v>2.4325000000000001</v>
      </c>
      <c r="AK15" s="121">
        <v>2.4325000000000001</v>
      </c>
      <c r="AL15" s="121">
        <v>2.4325000000000001</v>
      </c>
      <c r="AM15" s="121">
        <v>2.4325000000000001</v>
      </c>
      <c r="AN15" s="121">
        <v>2.4325000000000001</v>
      </c>
      <c r="AO15" s="121">
        <v>2.4325000000000001</v>
      </c>
      <c r="AP15" s="121">
        <v>2.4325000000000001</v>
      </c>
      <c r="AQ15" s="121">
        <v>2.4325000000000001</v>
      </c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</row>
    <row r="16" spans="1:73" s="97" customFormat="1" x14ac:dyDescent="0.25">
      <c r="A16" s="104" t="s">
        <v>6</v>
      </c>
      <c r="B16" s="97" t="s">
        <v>136</v>
      </c>
      <c r="C16" s="99" t="s">
        <v>156</v>
      </c>
      <c r="E16" s="98" t="s">
        <v>7</v>
      </c>
      <c r="F16" s="98" t="s">
        <v>135</v>
      </c>
      <c r="G16" s="98" t="s">
        <v>138</v>
      </c>
      <c r="K16" s="122">
        <v>9.4982000000000006</v>
      </c>
      <c r="L16" s="122">
        <v>9.4982000000000006</v>
      </c>
      <c r="M16" s="122">
        <v>9.4982000000000006</v>
      </c>
      <c r="N16" s="122">
        <v>9.5594999999999999</v>
      </c>
      <c r="O16" s="122">
        <v>9.4520999999999997</v>
      </c>
      <c r="P16" s="122">
        <v>9.5012000000000008</v>
      </c>
      <c r="Q16" s="122">
        <v>9.5012000000000008</v>
      </c>
      <c r="R16" s="122">
        <v>9.5012000000000008</v>
      </c>
      <c r="S16" s="122">
        <v>9.5012000000000008</v>
      </c>
      <c r="T16" s="122">
        <v>9.5012000000000008</v>
      </c>
      <c r="U16" s="122">
        <v>9.5012000000000008</v>
      </c>
      <c r="V16" s="122">
        <v>9.5012000000000008</v>
      </c>
      <c r="W16" s="122">
        <v>9.5012000000000008</v>
      </c>
      <c r="X16" s="122">
        <v>9.5012000000000008</v>
      </c>
      <c r="Y16" s="122">
        <v>9.5012000000000008</v>
      </c>
      <c r="Z16" s="122">
        <v>9.5012000000000008</v>
      </c>
      <c r="AA16" s="122">
        <v>9.5012000000000008</v>
      </c>
      <c r="AB16" s="122">
        <v>9.5012000000000008</v>
      </c>
      <c r="AC16" s="122">
        <v>9.5012000000000008</v>
      </c>
      <c r="AD16" s="122">
        <v>9.5012000000000008</v>
      </c>
      <c r="AE16" s="122">
        <v>9.5012000000000008</v>
      </c>
      <c r="AF16" s="122">
        <v>9.5012000000000008</v>
      </c>
      <c r="AG16" s="122">
        <v>9.5012000000000008</v>
      </c>
      <c r="AH16" s="122">
        <v>9.5012000000000008</v>
      </c>
      <c r="AI16" s="122">
        <v>9.5012000000000008</v>
      </c>
      <c r="AJ16" s="122">
        <v>9.5012000000000008</v>
      </c>
      <c r="AK16" s="122">
        <v>9.5012000000000008</v>
      </c>
      <c r="AL16" s="122">
        <v>9.5012000000000008</v>
      </c>
      <c r="AM16" s="122">
        <v>9.5012000000000008</v>
      </c>
      <c r="AN16" s="122">
        <v>9.5012000000000008</v>
      </c>
      <c r="AO16" s="122">
        <v>9.5012000000000008</v>
      </c>
      <c r="AP16" s="122">
        <v>9.5012000000000008</v>
      </c>
      <c r="AQ16" s="122">
        <v>9.5012000000000008</v>
      </c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</row>
    <row r="17" spans="1:73" s="97" customFormat="1" x14ac:dyDescent="0.25">
      <c r="A17" s="104" t="s">
        <v>6</v>
      </c>
      <c r="B17" s="97" t="s">
        <v>136</v>
      </c>
      <c r="C17" s="99" t="s">
        <v>157</v>
      </c>
      <c r="E17" s="98" t="s">
        <v>7</v>
      </c>
      <c r="F17" s="98" t="s">
        <v>135</v>
      </c>
      <c r="G17" s="98" t="s">
        <v>138</v>
      </c>
      <c r="K17" s="122">
        <v>2.4977</v>
      </c>
      <c r="L17" s="122">
        <v>2.4977</v>
      </c>
      <c r="M17" s="122">
        <v>2.4977</v>
      </c>
      <c r="N17" s="122">
        <v>2.3089</v>
      </c>
      <c r="O17" s="122">
        <v>2.1674000000000002</v>
      </c>
      <c r="P17" s="122">
        <v>2.3938999999999999</v>
      </c>
      <c r="Q17" s="122">
        <v>2.3938999999999999</v>
      </c>
      <c r="R17" s="122">
        <v>2.3938999999999999</v>
      </c>
      <c r="S17" s="122">
        <v>2.3938999999999999</v>
      </c>
      <c r="T17" s="122">
        <v>2.3938999999999999</v>
      </c>
      <c r="U17" s="122">
        <v>2.3938999999999999</v>
      </c>
      <c r="V17" s="122">
        <v>2.3938999999999999</v>
      </c>
      <c r="W17" s="122">
        <v>2.3938999999999999</v>
      </c>
      <c r="X17" s="122">
        <v>2.3938999999999999</v>
      </c>
      <c r="Y17" s="122">
        <v>2.3938999999999999</v>
      </c>
      <c r="Z17" s="122">
        <v>2.3938999999999999</v>
      </c>
      <c r="AA17" s="122">
        <v>2.3938999999999999</v>
      </c>
      <c r="AB17" s="122">
        <v>2.3938999999999999</v>
      </c>
      <c r="AC17" s="122">
        <v>2.3938999999999999</v>
      </c>
      <c r="AD17" s="122">
        <v>2.3938999999999999</v>
      </c>
      <c r="AE17" s="122">
        <v>2.3938999999999999</v>
      </c>
      <c r="AF17" s="122">
        <v>2.3938999999999999</v>
      </c>
      <c r="AG17" s="122">
        <v>2.3938999999999999</v>
      </c>
      <c r="AH17" s="122">
        <v>2.3938999999999999</v>
      </c>
      <c r="AI17" s="122">
        <v>2.3938999999999999</v>
      </c>
      <c r="AJ17" s="122">
        <v>2.3938999999999999</v>
      </c>
      <c r="AK17" s="122">
        <v>2.3938999999999999</v>
      </c>
      <c r="AL17" s="122">
        <v>2.3938999999999999</v>
      </c>
      <c r="AM17" s="122">
        <v>2.3938999999999999</v>
      </c>
      <c r="AN17" s="122">
        <v>2.3938999999999999</v>
      </c>
      <c r="AO17" s="122">
        <v>2.3938999999999999</v>
      </c>
      <c r="AP17" s="122">
        <v>2.3938999999999999</v>
      </c>
      <c r="AQ17" s="122">
        <v>2.3938999999999999</v>
      </c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</row>
    <row r="18" spans="1:73" s="97" customFormat="1" x14ac:dyDescent="0.25">
      <c r="A18" s="104" t="s">
        <v>6</v>
      </c>
      <c r="B18" s="97" t="s">
        <v>136</v>
      </c>
      <c r="C18" s="99" t="s">
        <v>155</v>
      </c>
      <c r="E18" s="98" t="s">
        <v>7</v>
      </c>
      <c r="F18" s="98" t="s">
        <v>135</v>
      </c>
      <c r="G18" s="98" t="s">
        <v>138</v>
      </c>
      <c r="K18" s="122">
        <v>0.34089999999999998</v>
      </c>
      <c r="L18" s="122">
        <v>0.34089999999999998</v>
      </c>
      <c r="M18" s="122">
        <v>0.34089999999999998</v>
      </c>
      <c r="N18" s="122">
        <v>0.39779999999999999</v>
      </c>
      <c r="O18" s="122">
        <v>0.40870000000000001</v>
      </c>
      <c r="P18" s="122">
        <v>0.36580000000000001</v>
      </c>
      <c r="Q18" s="122">
        <v>0.36580000000000001</v>
      </c>
      <c r="R18" s="122">
        <v>0.36580000000000001</v>
      </c>
      <c r="S18" s="122">
        <v>0.36580000000000001</v>
      </c>
      <c r="T18" s="122">
        <v>0.36580000000000001</v>
      </c>
      <c r="U18" s="122">
        <v>0.36580000000000001</v>
      </c>
      <c r="V18" s="122">
        <v>0.36580000000000001</v>
      </c>
      <c r="W18" s="122">
        <v>0.36580000000000001</v>
      </c>
      <c r="X18" s="122">
        <v>0.36580000000000001</v>
      </c>
      <c r="Y18" s="122">
        <v>0.36580000000000001</v>
      </c>
      <c r="Z18" s="122">
        <v>0.36580000000000001</v>
      </c>
      <c r="AA18" s="122">
        <v>0.36580000000000001</v>
      </c>
      <c r="AB18" s="122">
        <v>0.36580000000000001</v>
      </c>
      <c r="AC18" s="122">
        <v>0.36580000000000001</v>
      </c>
      <c r="AD18" s="122">
        <v>0.36580000000000001</v>
      </c>
      <c r="AE18" s="122">
        <v>0.36580000000000001</v>
      </c>
      <c r="AF18" s="122">
        <v>0.36580000000000001</v>
      </c>
      <c r="AG18" s="122">
        <v>0.36580000000000001</v>
      </c>
      <c r="AH18" s="122">
        <v>0.36580000000000001</v>
      </c>
      <c r="AI18" s="122">
        <v>0.36580000000000001</v>
      </c>
      <c r="AJ18" s="122">
        <v>0.36580000000000001</v>
      </c>
      <c r="AK18" s="122">
        <v>0.36580000000000001</v>
      </c>
      <c r="AL18" s="122">
        <v>0.36580000000000001</v>
      </c>
      <c r="AM18" s="122">
        <v>0.36580000000000001</v>
      </c>
      <c r="AN18" s="122">
        <v>0.36580000000000001</v>
      </c>
      <c r="AO18" s="122">
        <v>0.36580000000000001</v>
      </c>
      <c r="AP18" s="122">
        <v>0.36580000000000001</v>
      </c>
      <c r="AQ18" s="122">
        <v>0.36580000000000001</v>
      </c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28"/>
      <c r="BT18" s="28"/>
      <c r="BU18" s="28"/>
    </row>
    <row r="19" spans="1:73" s="97" customFormat="1" x14ac:dyDescent="0.25">
      <c r="A19" s="104" t="s">
        <v>6</v>
      </c>
      <c r="B19" s="97" t="s">
        <v>136</v>
      </c>
      <c r="C19" s="99" t="s">
        <v>158</v>
      </c>
      <c r="E19" s="98" t="s">
        <v>7</v>
      </c>
      <c r="F19" s="98" t="s">
        <v>135</v>
      </c>
      <c r="G19" s="98" t="s">
        <v>138</v>
      </c>
      <c r="K19" s="122">
        <v>8.4318000000000008</v>
      </c>
      <c r="L19" s="122">
        <v>8.4318000000000008</v>
      </c>
      <c r="M19" s="122">
        <v>8.4318000000000008</v>
      </c>
      <c r="N19" s="122">
        <v>8.2756000000000007</v>
      </c>
      <c r="O19" s="122">
        <v>8.1129999999999995</v>
      </c>
      <c r="P19" s="122">
        <v>8.3368000000000002</v>
      </c>
      <c r="Q19" s="122">
        <v>8.3368000000000002</v>
      </c>
      <c r="R19" s="122">
        <v>8.3368000000000002</v>
      </c>
      <c r="S19" s="122">
        <v>8.3368000000000002</v>
      </c>
      <c r="T19" s="122">
        <v>8.3368000000000002</v>
      </c>
      <c r="U19" s="122">
        <v>8.3368000000000002</v>
      </c>
      <c r="V19" s="122">
        <v>8.3368000000000002</v>
      </c>
      <c r="W19" s="122">
        <v>8.3368000000000002</v>
      </c>
      <c r="X19" s="122">
        <v>8.3368000000000002</v>
      </c>
      <c r="Y19" s="122">
        <v>8.3368000000000002</v>
      </c>
      <c r="Z19" s="122">
        <v>8.3368000000000002</v>
      </c>
      <c r="AA19" s="122">
        <v>8.3368000000000002</v>
      </c>
      <c r="AB19" s="122">
        <v>8.3368000000000002</v>
      </c>
      <c r="AC19" s="122">
        <v>8.3368000000000002</v>
      </c>
      <c r="AD19" s="122">
        <v>8.3368000000000002</v>
      </c>
      <c r="AE19" s="122">
        <v>8.3368000000000002</v>
      </c>
      <c r="AF19" s="122">
        <v>8.3368000000000002</v>
      </c>
      <c r="AG19" s="122">
        <v>8.3368000000000002</v>
      </c>
      <c r="AH19" s="122">
        <v>8.3368000000000002</v>
      </c>
      <c r="AI19" s="122">
        <v>8.3368000000000002</v>
      </c>
      <c r="AJ19" s="122">
        <v>8.3368000000000002</v>
      </c>
      <c r="AK19" s="122">
        <v>8.3368000000000002</v>
      </c>
      <c r="AL19" s="122">
        <v>8.3368000000000002</v>
      </c>
      <c r="AM19" s="122">
        <v>8.3368000000000002</v>
      </c>
      <c r="AN19" s="122">
        <v>8.3368000000000002</v>
      </c>
      <c r="AO19" s="122">
        <v>8.3368000000000002</v>
      </c>
      <c r="AP19" s="122">
        <v>8.3368000000000002</v>
      </c>
      <c r="AQ19" s="122">
        <v>8.3368000000000002</v>
      </c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</row>
    <row r="20" spans="1:73" s="115" customFormat="1" x14ac:dyDescent="0.25">
      <c r="A20" s="114" t="s">
        <v>6</v>
      </c>
      <c r="B20" s="115" t="s">
        <v>136</v>
      </c>
      <c r="C20" s="116" t="s">
        <v>159</v>
      </c>
      <c r="E20" s="117" t="s">
        <v>7</v>
      </c>
      <c r="F20" s="117" t="s">
        <v>135</v>
      </c>
      <c r="G20" s="117" t="s">
        <v>138</v>
      </c>
      <c r="K20" s="123">
        <v>9.5600000000000004E-2</v>
      </c>
      <c r="L20" s="123">
        <v>9.5600000000000004E-2</v>
      </c>
      <c r="M20" s="123">
        <v>9.5600000000000004E-2</v>
      </c>
      <c r="N20" s="123">
        <v>9.6500000000000002E-2</v>
      </c>
      <c r="O20" s="123">
        <v>9.5799999999999996E-2</v>
      </c>
      <c r="P20" s="123">
        <v>9.5799999999999996E-2</v>
      </c>
      <c r="Q20" s="123">
        <v>9.5799999999999996E-2</v>
      </c>
      <c r="R20" s="123">
        <v>9.5799999999999996E-2</v>
      </c>
      <c r="S20" s="123">
        <v>9.5799999999999996E-2</v>
      </c>
      <c r="T20" s="123">
        <v>9.5799999999999996E-2</v>
      </c>
      <c r="U20" s="123">
        <v>9.5799999999999996E-2</v>
      </c>
      <c r="V20" s="123">
        <v>9.5799999999999996E-2</v>
      </c>
      <c r="W20" s="123">
        <v>9.5799999999999996E-2</v>
      </c>
      <c r="X20" s="123">
        <v>9.5799999999999996E-2</v>
      </c>
      <c r="Y20" s="123">
        <v>9.5799999999999996E-2</v>
      </c>
      <c r="Z20" s="123">
        <v>9.5799999999999996E-2</v>
      </c>
      <c r="AA20" s="123">
        <v>9.5799999999999996E-2</v>
      </c>
      <c r="AB20" s="123">
        <v>9.5799999999999996E-2</v>
      </c>
      <c r="AC20" s="123">
        <v>9.5799999999999996E-2</v>
      </c>
      <c r="AD20" s="123">
        <v>9.5799999999999996E-2</v>
      </c>
      <c r="AE20" s="123">
        <v>9.5799999999999996E-2</v>
      </c>
      <c r="AF20" s="123">
        <v>9.5799999999999996E-2</v>
      </c>
      <c r="AG20" s="123">
        <v>9.5799999999999996E-2</v>
      </c>
      <c r="AH20" s="123">
        <v>9.5799999999999996E-2</v>
      </c>
      <c r="AI20" s="123">
        <v>9.5799999999999996E-2</v>
      </c>
      <c r="AJ20" s="123">
        <v>9.5799999999999996E-2</v>
      </c>
      <c r="AK20" s="123">
        <v>9.5799999999999996E-2</v>
      </c>
      <c r="AL20" s="123">
        <v>9.5799999999999996E-2</v>
      </c>
      <c r="AM20" s="123">
        <v>9.5799999999999996E-2</v>
      </c>
      <c r="AN20" s="123">
        <v>9.5799999999999996E-2</v>
      </c>
      <c r="AO20" s="123">
        <v>9.5799999999999996E-2</v>
      </c>
      <c r="AP20" s="123">
        <v>9.5799999999999996E-2</v>
      </c>
      <c r="AQ20" s="123">
        <v>9.5799999999999996E-2</v>
      </c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</row>
    <row r="21" spans="1:73" x14ac:dyDescent="0.25">
      <c r="A21" s="125" t="s">
        <v>6</v>
      </c>
      <c r="B21" s="125" t="s">
        <v>48</v>
      </c>
      <c r="C21" s="125" t="s">
        <v>175</v>
      </c>
      <c r="D21" s="125"/>
      <c r="E21" s="125" t="s">
        <v>7</v>
      </c>
      <c r="F21" s="125" t="s">
        <v>135</v>
      </c>
      <c r="G21" s="125" t="s">
        <v>138</v>
      </c>
      <c r="H21" s="125"/>
      <c r="I21" s="125"/>
      <c r="J21" s="125"/>
      <c r="K21" s="124">
        <v>1.2409999999999999E-2</v>
      </c>
      <c r="L21" s="124">
        <v>6.8300000000000001E-3</v>
      </c>
      <c r="M21" s="124">
        <v>2.2349999999999998E-2</v>
      </c>
      <c r="N21" s="124">
        <v>3.7200000000000002E-3</v>
      </c>
      <c r="O21" s="124">
        <v>3.3520000000000001E-2</v>
      </c>
      <c r="P21" s="124">
        <v>1.6E-2</v>
      </c>
      <c r="Q21" s="124">
        <v>1.6E-2</v>
      </c>
      <c r="R21" s="124">
        <v>1.6E-2</v>
      </c>
      <c r="S21" s="124">
        <v>1.6E-2</v>
      </c>
      <c r="T21" s="124">
        <v>1.6E-2</v>
      </c>
      <c r="U21" s="124">
        <v>1.6E-2</v>
      </c>
      <c r="V21" s="124">
        <v>1.6E-2</v>
      </c>
      <c r="W21" s="124">
        <v>1.6E-2</v>
      </c>
      <c r="X21" s="124">
        <v>1.6E-2</v>
      </c>
      <c r="Y21" s="124">
        <v>1.6E-2</v>
      </c>
      <c r="Z21" s="124">
        <v>1.6E-2</v>
      </c>
      <c r="AA21" s="124">
        <v>1.6E-2</v>
      </c>
      <c r="AB21" s="124">
        <v>1.6E-2</v>
      </c>
      <c r="AC21" s="124">
        <v>1.6E-2</v>
      </c>
      <c r="AD21" s="124">
        <v>1.6E-2</v>
      </c>
      <c r="AE21" s="124">
        <v>1.6E-2</v>
      </c>
      <c r="AF21" s="124">
        <v>1.6E-2</v>
      </c>
      <c r="AG21" s="124">
        <v>1.6E-2</v>
      </c>
      <c r="AH21" s="124">
        <v>1.6E-2</v>
      </c>
      <c r="AI21" s="124">
        <v>1.6E-2</v>
      </c>
      <c r="AJ21" s="124">
        <v>1.6E-2</v>
      </c>
      <c r="AK21" s="124">
        <v>1.6E-2</v>
      </c>
      <c r="AL21" s="124">
        <v>1.6E-2</v>
      </c>
      <c r="AM21" s="124">
        <v>1.6E-2</v>
      </c>
      <c r="AN21" s="124">
        <v>1.6E-2</v>
      </c>
      <c r="AO21" s="124">
        <v>1.6E-2</v>
      </c>
      <c r="AP21" s="124">
        <v>1.6E-2</v>
      </c>
      <c r="AQ21" s="124">
        <v>1.6E-2</v>
      </c>
    </row>
    <row r="22" spans="1:73" x14ac:dyDescent="0.25">
      <c r="A22" s="125" t="s">
        <v>6</v>
      </c>
      <c r="B22" s="125" t="s">
        <v>48</v>
      </c>
      <c r="C22" s="125" t="s">
        <v>176</v>
      </c>
      <c r="D22" s="125"/>
      <c r="E22" s="125" t="s">
        <v>7</v>
      </c>
      <c r="F22" s="125" t="s">
        <v>135</v>
      </c>
      <c r="G22" s="125" t="s">
        <v>138</v>
      </c>
      <c r="H22" s="125"/>
      <c r="I22" s="125"/>
      <c r="J22" s="125"/>
      <c r="K22" s="143">
        <v>2.48E-3</v>
      </c>
      <c r="L22" s="143">
        <v>8.6899999999999998E-3</v>
      </c>
      <c r="M22" s="143">
        <v>1.2409999999999999E-2</v>
      </c>
      <c r="N22" s="143">
        <v>9.9299999999999996E-3</v>
      </c>
      <c r="O22" s="143">
        <v>1.6140000000000002E-2</v>
      </c>
      <c r="P22" s="143">
        <v>6.2100000000000002E-3</v>
      </c>
      <c r="Q22" s="143">
        <v>6.2100000000000002E-3</v>
      </c>
      <c r="R22" s="143">
        <v>6.2100000000000002E-3</v>
      </c>
      <c r="S22" s="124">
        <v>6.2100000000000002E-3</v>
      </c>
      <c r="T22" s="124">
        <v>6.2100000000000002E-3</v>
      </c>
      <c r="U22" s="124">
        <v>6.2100000000000002E-3</v>
      </c>
      <c r="V22" s="124">
        <v>6.2100000000000002E-3</v>
      </c>
      <c r="W22" s="124">
        <v>5.4799999999999996E-3</v>
      </c>
      <c r="X22" s="124">
        <v>5.4799999999999996E-3</v>
      </c>
      <c r="Y22" s="124">
        <v>5.4799999999999996E-3</v>
      </c>
      <c r="Z22" s="124">
        <v>5.4799999999999996E-3</v>
      </c>
      <c r="AA22" s="124">
        <v>5.4799999999999996E-3</v>
      </c>
      <c r="AB22" s="124">
        <v>5.4799999999999996E-3</v>
      </c>
      <c r="AC22" s="124">
        <v>5.4799999999999996E-3</v>
      </c>
      <c r="AD22" s="124">
        <v>5.4799999999999996E-3</v>
      </c>
      <c r="AE22" s="124">
        <v>5.4799999999999996E-3</v>
      </c>
      <c r="AF22" s="124">
        <v>5.4799999999999996E-3</v>
      </c>
      <c r="AG22" s="124">
        <v>5.4799999999999996E-3</v>
      </c>
      <c r="AH22" s="124">
        <v>5.4799999999999996E-3</v>
      </c>
      <c r="AI22" s="124">
        <v>5.4799999999999996E-3</v>
      </c>
      <c r="AJ22" s="124">
        <v>5.4799999999999996E-3</v>
      </c>
      <c r="AK22" s="124">
        <v>5.4799999999999996E-3</v>
      </c>
      <c r="AL22" s="124">
        <v>5.4799999999999996E-3</v>
      </c>
      <c r="AM22" s="124">
        <v>5.4799999999999996E-3</v>
      </c>
      <c r="AN22" s="124">
        <v>5.4799999999999996E-3</v>
      </c>
      <c r="AO22" s="124">
        <v>5.4799999999999996E-3</v>
      </c>
      <c r="AP22" s="124">
        <v>5.4799999999999996E-3</v>
      </c>
      <c r="AQ22" s="124">
        <v>5.4799999999999996E-3</v>
      </c>
    </row>
    <row r="23" spans="1:73" x14ac:dyDescent="0.25">
      <c r="A23" s="125" t="s">
        <v>6</v>
      </c>
      <c r="B23" s="125" t="s">
        <v>48</v>
      </c>
      <c r="C23" s="125" t="s">
        <v>177</v>
      </c>
      <c r="D23" s="125"/>
      <c r="E23" s="125" t="s">
        <v>7</v>
      </c>
      <c r="F23" s="125" t="s">
        <v>135</v>
      </c>
      <c r="G23" s="125" t="s">
        <v>138</v>
      </c>
      <c r="H23" s="125"/>
      <c r="I23" s="125"/>
      <c r="J23" s="125"/>
      <c r="K23" s="124">
        <v>1.055E-2</v>
      </c>
      <c r="L23" s="124">
        <v>1.4279999999999999E-2</v>
      </c>
      <c r="M23" s="124">
        <v>2.2349999999999998E-2</v>
      </c>
      <c r="N23" s="124">
        <v>1.6760000000000001E-2</v>
      </c>
      <c r="O23" s="124">
        <v>2.4209999999999999E-2</v>
      </c>
      <c r="P23" s="124">
        <v>1.9460000000000002E-2</v>
      </c>
      <c r="Q23" s="124">
        <v>1.9460000000000002E-2</v>
      </c>
      <c r="R23" s="124">
        <v>1.9460000000000002E-2</v>
      </c>
      <c r="S23" s="124">
        <v>1.9460000000000002E-2</v>
      </c>
      <c r="T23" s="124">
        <v>1.9460000000000002E-2</v>
      </c>
      <c r="U23" s="124">
        <v>1.9460000000000002E-2</v>
      </c>
      <c r="V23" s="124">
        <v>1.9460000000000002E-2</v>
      </c>
      <c r="W23" s="124">
        <v>9.2800000000000001E-3</v>
      </c>
      <c r="X23" s="124">
        <v>9.2800000000000001E-3</v>
      </c>
      <c r="Y23" s="124">
        <v>9.2800000000000001E-3</v>
      </c>
      <c r="Z23" s="124">
        <v>9.2800000000000001E-3</v>
      </c>
      <c r="AA23" s="124">
        <v>9.2800000000000001E-3</v>
      </c>
      <c r="AB23" s="124">
        <v>9.2800000000000001E-3</v>
      </c>
      <c r="AC23" s="124">
        <v>9.2800000000000001E-3</v>
      </c>
      <c r="AD23" s="124">
        <v>9.2800000000000001E-3</v>
      </c>
      <c r="AE23" s="124">
        <v>9.2800000000000001E-3</v>
      </c>
      <c r="AF23" s="124">
        <v>9.2800000000000001E-3</v>
      </c>
      <c r="AG23" s="124">
        <v>9.2800000000000001E-3</v>
      </c>
      <c r="AH23" s="124">
        <v>9.2800000000000001E-3</v>
      </c>
      <c r="AI23" s="124">
        <v>9.2800000000000001E-3</v>
      </c>
      <c r="AJ23" s="124">
        <v>9.2800000000000001E-3</v>
      </c>
      <c r="AK23" s="124">
        <v>9.2800000000000001E-3</v>
      </c>
      <c r="AL23" s="124">
        <v>9.2800000000000001E-3</v>
      </c>
      <c r="AM23" s="124">
        <v>9.2800000000000001E-3</v>
      </c>
      <c r="AN23" s="124">
        <v>9.2800000000000001E-3</v>
      </c>
      <c r="AO23" s="124">
        <v>9.2800000000000001E-3</v>
      </c>
      <c r="AP23" s="124">
        <v>9.2800000000000001E-3</v>
      </c>
      <c r="AQ23" s="124">
        <v>9.2800000000000001E-3</v>
      </c>
    </row>
    <row r="24" spans="1:73" x14ac:dyDescent="0.25">
      <c r="A24" s="125" t="s">
        <v>6</v>
      </c>
      <c r="B24" s="125" t="s">
        <v>48</v>
      </c>
      <c r="C24" s="125" t="s">
        <v>178</v>
      </c>
      <c r="D24" s="125"/>
      <c r="E24" s="125" t="s">
        <v>7</v>
      </c>
      <c r="F24" s="125" t="s">
        <v>135</v>
      </c>
      <c r="G24" s="125" t="s">
        <v>138</v>
      </c>
      <c r="H24" s="125"/>
      <c r="I24" s="125"/>
      <c r="J24" s="125"/>
      <c r="K24" s="124">
        <v>0.1123</v>
      </c>
      <c r="L24" s="124">
        <v>0.1123</v>
      </c>
      <c r="M24" s="124">
        <v>0.1123</v>
      </c>
      <c r="N24" s="124">
        <v>0.1123</v>
      </c>
      <c r="O24" s="124">
        <v>0.1123</v>
      </c>
      <c r="P24" s="124">
        <v>0.1123</v>
      </c>
      <c r="Q24" s="124">
        <v>0.1123</v>
      </c>
      <c r="R24" s="124">
        <v>0.1123</v>
      </c>
      <c r="S24" s="124">
        <v>0.1123</v>
      </c>
      <c r="T24" s="124">
        <v>0.1123</v>
      </c>
      <c r="U24" s="124">
        <v>0.1123</v>
      </c>
      <c r="V24" s="124">
        <v>0.1123</v>
      </c>
      <c r="W24" s="124">
        <v>0.1123</v>
      </c>
      <c r="X24" s="124">
        <v>0.1123</v>
      </c>
      <c r="Y24" s="124">
        <v>0.1123</v>
      </c>
      <c r="Z24" s="124">
        <v>0.1123</v>
      </c>
      <c r="AA24" s="124">
        <v>0.1123</v>
      </c>
      <c r="AB24" s="124">
        <v>0.1123</v>
      </c>
      <c r="AC24" s="124">
        <v>0.1123</v>
      </c>
      <c r="AD24" s="124">
        <v>0.1123</v>
      </c>
      <c r="AE24" s="124">
        <v>0.1123</v>
      </c>
      <c r="AF24" s="124">
        <v>0.1123</v>
      </c>
      <c r="AG24" s="124">
        <v>0.1123</v>
      </c>
      <c r="AH24" s="124">
        <v>0.1123</v>
      </c>
      <c r="AI24" s="124">
        <v>0.1123</v>
      </c>
      <c r="AJ24" s="124">
        <v>0.1123</v>
      </c>
      <c r="AK24" s="124">
        <v>0.1123</v>
      </c>
      <c r="AL24" s="124">
        <v>0.1123</v>
      </c>
      <c r="AM24" s="124">
        <v>0.1123</v>
      </c>
      <c r="AN24" s="124">
        <v>0.1123</v>
      </c>
      <c r="AO24" s="124">
        <v>0.1123</v>
      </c>
      <c r="AP24" s="124">
        <v>0.1123</v>
      </c>
      <c r="AQ24" s="124">
        <v>0.112</v>
      </c>
    </row>
    <row r="25" spans="1:73" x14ac:dyDescent="0.25">
      <c r="A25" s="125" t="s">
        <v>6</v>
      </c>
      <c r="B25" s="125" t="s">
        <v>49</v>
      </c>
      <c r="C25" s="125" t="s">
        <v>175</v>
      </c>
      <c r="D25" s="125"/>
      <c r="E25" s="125" t="s">
        <v>7</v>
      </c>
      <c r="F25" s="125" t="s">
        <v>135</v>
      </c>
      <c r="G25" s="125" t="s">
        <v>138</v>
      </c>
      <c r="H25" s="125"/>
      <c r="I25" s="125"/>
      <c r="J25" s="125"/>
      <c r="K25" s="124">
        <f>+K21*1.01</f>
        <v>1.2534099999999999E-2</v>
      </c>
      <c r="L25" s="124">
        <f t="shared" ref="L25:AQ28" si="0">+L21*1.01</f>
        <v>6.8983000000000004E-3</v>
      </c>
      <c r="M25" s="124">
        <f t="shared" si="0"/>
        <v>2.25735E-2</v>
      </c>
      <c r="N25" s="124">
        <f t="shared" si="0"/>
        <v>3.7572E-3</v>
      </c>
      <c r="O25" s="124">
        <f t="shared" si="0"/>
        <v>3.3855200000000002E-2</v>
      </c>
      <c r="P25" s="124">
        <f t="shared" si="0"/>
        <v>1.6160000000000001E-2</v>
      </c>
      <c r="Q25" s="124">
        <f t="shared" si="0"/>
        <v>1.6160000000000001E-2</v>
      </c>
      <c r="R25" s="124">
        <f t="shared" si="0"/>
        <v>1.6160000000000001E-2</v>
      </c>
      <c r="S25" s="124">
        <f t="shared" si="0"/>
        <v>1.6160000000000001E-2</v>
      </c>
      <c r="T25" s="124">
        <f t="shared" si="0"/>
        <v>1.6160000000000001E-2</v>
      </c>
      <c r="U25" s="124">
        <f t="shared" si="0"/>
        <v>1.6160000000000001E-2</v>
      </c>
      <c r="V25" s="124">
        <f t="shared" si="0"/>
        <v>1.6160000000000001E-2</v>
      </c>
      <c r="W25" s="124">
        <f t="shared" si="0"/>
        <v>1.6160000000000001E-2</v>
      </c>
      <c r="X25" s="124">
        <f t="shared" si="0"/>
        <v>1.6160000000000001E-2</v>
      </c>
      <c r="Y25" s="124">
        <f t="shared" si="0"/>
        <v>1.6160000000000001E-2</v>
      </c>
      <c r="Z25" s="124">
        <f t="shared" si="0"/>
        <v>1.6160000000000001E-2</v>
      </c>
      <c r="AA25" s="124">
        <f t="shared" si="0"/>
        <v>1.6160000000000001E-2</v>
      </c>
      <c r="AB25" s="124">
        <f t="shared" si="0"/>
        <v>1.6160000000000001E-2</v>
      </c>
      <c r="AC25" s="124">
        <f t="shared" si="0"/>
        <v>1.6160000000000001E-2</v>
      </c>
      <c r="AD25" s="124">
        <f t="shared" si="0"/>
        <v>1.6160000000000001E-2</v>
      </c>
      <c r="AE25" s="124">
        <f t="shared" si="0"/>
        <v>1.6160000000000001E-2</v>
      </c>
      <c r="AF25" s="124">
        <f t="shared" si="0"/>
        <v>1.6160000000000001E-2</v>
      </c>
      <c r="AG25" s="124">
        <f t="shared" si="0"/>
        <v>1.6160000000000001E-2</v>
      </c>
      <c r="AH25" s="124">
        <f t="shared" si="0"/>
        <v>1.6160000000000001E-2</v>
      </c>
      <c r="AI25" s="124">
        <f t="shared" si="0"/>
        <v>1.6160000000000001E-2</v>
      </c>
      <c r="AJ25" s="124">
        <f t="shared" si="0"/>
        <v>1.6160000000000001E-2</v>
      </c>
      <c r="AK25" s="124">
        <f t="shared" si="0"/>
        <v>1.6160000000000001E-2</v>
      </c>
      <c r="AL25" s="124">
        <f t="shared" si="0"/>
        <v>1.6160000000000001E-2</v>
      </c>
      <c r="AM25" s="124">
        <f t="shared" si="0"/>
        <v>1.6160000000000001E-2</v>
      </c>
      <c r="AN25" s="124">
        <f t="shared" si="0"/>
        <v>1.6160000000000001E-2</v>
      </c>
      <c r="AO25" s="124">
        <f t="shared" si="0"/>
        <v>1.6160000000000001E-2</v>
      </c>
      <c r="AP25" s="124">
        <f t="shared" si="0"/>
        <v>1.6160000000000001E-2</v>
      </c>
      <c r="AQ25" s="124">
        <f t="shared" si="0"/>
        <v>1.6160000000000001E-2</v>
      </c>
    </row>
    <row r="26" spans="1:73" x14ac:dyDescent="0.25">
      <c r="A26" s="125" t="s">
        <v>6</v>
      </c>
      <c r="B26" s="125" t="s">
        <v>49</v>
      </c>
      <c r="C26" s="125" t="s">
        <v>176</v>
      </c>
      <c r="D26" s="125"/>
      <c r="E26" s="125" t="s">
        <v>7</v>
      </c>
      <c r="F26" s="125" t="s">
        <v>135</v>
      </c>
      <c r="G26" s="125" t="s">
        <v>138</v>
      </c>
      <c r="H26" s="125"/>
      <c r="I26" s="125"/>
      <c r="J26" s="125"/>
      <c r="K26" s="143">
        <f t="shared" ref="K26:Z28" si="1">+K22*1.01</f>
        <v>2.5048000000000002E-3</v>
      </c>
      <c r="L26" s="143">
        <f t="shared" si="1"/>
        <v>8.7769000000000007E-3</v>
      </c>
      <c r="M26" s="143">
        <f t="shared" si="1"/>
        <v>1.2534099999999999E-2</v>
      </c>
      <c r="N26" s="143">
        <f t="shared" si="1"/>
        <v>1.00293E-2</v>
      </c>
      <c r="O26" s="143">
        <f t="shared" si="1"/>
        <v>1.6301400000000001E-2</v>
      </c>
      <c r="P26" s="143">
        <f t="shared" si="1"/>
        <v>6.2721000000000001E-3</v>
      </c>
      <c r="Q26" s="143">
        <f t="shared" si="1"/>
        <v>6.2721000000000001E-3</v>
      </c>
      <c r="R26" s="143">
        <f t="shared" si="1"/>
        <v>6.2721000000000001E-3</v>
      </c>
      <c r="S26" s="124">
        <f t="shared" si="1"/>
        <v>6.2721000000000001E-3</v>
      </c>
      <c r="T26" s="124">
        <f t="shared" si="1"/>
        <v>6.2721000000000001E-3</v>
      </c>
      <c r="U26" s="124">
        <f t="shared" si="1"/>
        <v>6.2721000000000001E-3</v>
      </c>
      <c r="V26" s="124">
        <f t="shared" si="1"/>
        <v>6.2721000000000001E-3</v>
      </c>
      <c r="W26" s="124">
        <f t="shared" si="1"/>
        <v>5.5347999999999994E-3</v>
      </c>
      <c r="X26" s="124">
        <f t="shared" si="1"/>
        <v>5.5347999999999994E-3</v>
      </c>
      <c r="Y26" s="124">
        <f t="shared" si="1"/>
        <v>5.5347999999999994E-3</v>
      </c>
      <c r="Z26" s="124">
        <f t="shared" si="1"/>
        <v>5.5347999999999994E-3</v>
      </c>
      <c r="AA26" s="124">
        <f t="shared" si="0"/>
        <v>5.5347999999999994E-3</v>
      </c>
      <c r="AB26" s="124">
        <f t="shared" si="0"/>
        <v>5.5347999999999994E-3</v>
      </c>
      <c r="AC26" s="124">
        <f t="shared" si="0"/>
        <v>5.5347999999999994E-3</v>
      </c>
      <c r="AD26" s="124">
        <f t="shared" si="0"/>
        <v>5.5347999999999994E-3</v>
      </c>
      <c r="AE26" s="124">
        <f t="shared" si="0"/>
        <v>5.5347999999999994E-3</v>
      </c>
      <c r="AF26" s="124">
        <f t="shared" si="0"/>
        <v>5.5347999999999994E-3</v>
      </c>
      <c r="AG26" s="124">
        <f t="shared" si="0"/>
        <v>5.5347999999999994E-3</v>
      </c>
      <c r="AH26" s="124">
        <f t="shared" si="0"/>
        <v>5.5347999999999994E-3</v>
      </c>
      <c r="AI26" s="124">
        <f t="shared" si="0"/>
        <v>5.5347999999999994E-3</v>
      </c>
      <c r="AJ26" s="124">
        <f t="shared" si="0"/>
        <v>5.5347999999999994E-3</v>
      </c>
      <c r="AK26" s="124">
        <f t="shared" si="0"/>
        <v>5.5347999999999994E-3</v>
      </c>
      <c r="AL26" s="124">
        <f t="shared" si="0"/>
        <v>5.5347999999999994E-3</v>
      </c>
      <c r="AM26" s="124">
        <f t="shared" si="0"/>
        <v>5.5347999999999994E-3</v>
      </c>
      <c r="AN26" s="124">
        <f t="shared" si="0"/>
        <v>5.5347999999999994E-3</v>
      </c>
      <c r="AO26" s="124">
        <f t="shared" si="0"/>
        <v>5.5347999999999994E-3</v>
      </c>
      <c r="AP26" s="124">
        <f t="shared" si="0"/>
        <v>5.5347999999999994E-3</v>
      </c>
      <c r="AQ26" s="124">
        <f t="shared" si="0"/>
        <v>5.5347999999999994E-3</v>
      </c>
    </row>
    <row r="27" spans="1:73" x14ac:dyDescent="0.25">
      <c r="A27" s="125" t="s">
        <v>6</v>
      </c>
      <c r="B27" s="125" t="s">
        <v>49</v>
      </c>
      <c r="C27" s="125" t="s">
        <v>177</v>
      </c>
      <c r="D27" s="125"/>
      <c r="E27" s="125" t="s">
        <v>7</v>
      </c>
      <c r="F27" s="125" t="s">
        <v>135</v>
      </c>
      <c r="G27" s="125" t="s">
        <v>138</v>
      </c>
      <c r="H27" s="125"/>
      <c r="I27" s="125"/>
      <c r="J27" s="125"/>
      <c r="K27" s="124">
        <f t="shared" si="1"/>
        <v>1.06555E-2</v>
      </c>
      <c r="L27" s="124">
        <f t="shared" si="0"/>
        <v>1.44228E-2</v>
      </c>
      <c r="M27" s="124">
        <f t="shared" si="0"/>
        <v>2.25735E-2</v>
      </c>
      <c r="N27" s="124">
        <f t="shared" si="0"/>
        <v>1.6927600000000001E-2</v>
      </c>
      <c r="O27" s="124">
        <f t="shared" si="0"/>
        <v>2.4452099999999997E-2</v>
      </c>
      <c r="P27" s="124">
        <f t="shared" si="0"/>
        <v>1.9654600000000001E-2</v>
      </c>
      <c r="Q27" s="124">
        <f t="shared" si="0"/>
        <v>1.9654600000000001E-2</v>
      </c>
      <c r="R27" s="124">
        <f t="shared" si="0"/>
        <v>1.9654600000000001E-2</v>
      </c>
      <c r="S27" s="124">
        <f t="shared" si="0"/>
        <v>1.9654600000000001E-2</v>
      </c>
      <c r="T27" s="124">
        <f t="shared" si="0"/>
        <v>1.9654600000000001E-2</v>
      </c>
      <c r="U27" s="124">
        <f t="shared" si="0"/>
        <v>1.9654600000000001E-2</v>
      </c>
      <c r="V27" s="124">
        <f t="shared" si="0"/>
        <v>1.9654600000000001E-2</v>
      </c>
      <c r="W27" s="124">
        <f t="shared" si="0"/>
        <v>9.3728000000000006E-3</v>
      </c>
      <c r="X27" s="124">
        <f t="shared" si="0"/>
        <v>9.3728000000000006E-3</v>
      </c>
      <c r="Y27" s="124">
        <f t="shared" si="0"/>
        <v>9.3728000000000006E-3</v>
      </c>
      <c r="Z27" s="124">
        <f t="shared" si="0"/>
        <v>9.3728000000000006E-3</v>
      </c>
      <c r="AA27" s="124">
        <f t="shared" si="0"/>
        <v>9.3728000000000006E-3</v>
      </c>
      <c r="AB27" s="124">
        <f t="shared" si="0"/>
        <v>9.3728000000000006E-3</v>
      </c>
      <c r="AC27" s="124">
        <f t="shared" si="0"/>
        <v>9.3728000000000006E-3</v>
      </c>
      <c r="AD27" s="124">
        <f t="shared" si="0"/>
        <v>9.3728000000000006E-3</v>
      </c>
      <c r="AE27" s="124">
        <f t="shared" si="0"/>
        <v>9.3728000000000006E-3</v>
      </c>
      <c r="AF27" s="124">
        <f t="shared" si="0"/>
        <v>9.3728000000000006E-3</v>
      </c>
      <c r="AG27" s="124">
        <f t="shared" si="0"/>
        <v>9.3728000000000006E-3</v>
      </c>
      <c r="AH27" s="124">
        <f t="shared" si="0"/>
        <v>9.3728000000000006E-3</v>
      </c>
      <c r="AI27" s="124">
        <f t="shared" si="0"/>
        <v>9.3728000000000006E-3</v>
      </c>
      <c r="AJ27" s="124">
        <f t="shared" si="0"/>
        <v>9.3728000000000006E-3</v>
      </c>
      <c r="AK27" s="124">
        <f t="shared" si="0"/>
        <v>9.3728000000000006E-3</v>
      </c>
      <c r="AL27" s="124">
        <f t="shared" si="0"/>
        <v>9.3728000000000006E-3</v>
      </c>
      <c r="AM27" s="124">
        <f t="shared" si="0"/>
        <v>9.3728000000000006E-3</v>
      </c>
      <c r="AN27" s="124">
        <f t="shared" si="0"/>
        <v>9.3728000000000006E-3</v>
      </c>
      <c r="AO27" s="124">
        <f t="shared" si="0"/>
        <v>9.3728000000000006E-3</v>
      </c>
      <c r="AP27" s="124">
        <f t="shared" si="0"/>
        <v>9.3728000000000006E-3</v>
      </c>
      <c r="AQ27" s="124">
        <f t="shared" si="0"/>
        <v>9.3728000000000006E-3</v>
      </c>
    </row>
    <row r="28" spans="1:73" x14ac:dyDescent="0.25">
      <c r="A28" s="131" t="s">
        <v>6</v>
      </c>
      <c r="B28" s="131" t="s">
        <v>49</v>
      </c>
      <c r="C28" s="131" t="s">
        <v>178</v>
      </c>
      <c r="D28" s="131"/>
      <c r="E28" s="131" t="s">
        <v>7</v>
      </c>
      <c r="F28" s="131" t="s">
        <v>135</v>
      </c>
      <c r="G28" s="131" t="s">
        <v>138</v>
      </c>
      <c r="H28" s="131"/>
      <c r="I28" s="131"/>
      <c r="J28" s="131"/>
      <c r="K28" s="124">
        <f t="shared" si="1"/>
        <v>0.113423</v>
      </c>
      <c r="L28" s="124">
        <f t="shared" si="0"/>
        <v>0.113423</v>
      </c>
      <c r="M28" s="124">
        <f t="shared" si="0"/>
        <v>0.113423</v>
      </c>
      <c r="N28" s="124">
        <f t="shared" si="0"/>
        <v>0.113423</v>
      </c>
      <c r="O28" s="124">
        <f t="shared" si="0"/>
        <v>0.113423</v>
      </c>
      <c r="P28" s="124">
        <f t="shared" si="0"/>
        <v>0.113423</v>
      </c>
      <c r="Q28" s="124">
        <f t="shared" si="0"/>
        <v>0.113423</v>
      </c>
      <c r="R28" s="124">
        <f t="shared" si="0"/>
        <v>0.113423</v>
      </c>
      <c r="S28" s="124">
        <f t="shared" si="0"/>
        <v>0.113423</v>
      </c>
      <c r="T28" s="124">
        <f t="shared" si="0"/>
        <v>0.113423</v>
      </c>
      <c r="U28" s="124">
        <f t="shared" si="0"/>
        <v>0.113423</v>
      </c>
      <c r="V28" s="124">
        <f t="shared" si="0"/>
        <v>0.113423</v>
      </c>
      <c r="W28" s="124">
        <f t="shared" si="0"/>
        <v>0.113423</v>
      </c>
      <c r="X28" s="124">
        <f t="shared" si="0"/>
        <v>0.113423</v>
      </c>
      <c r="Y28" s="124">
        <f t="shared" si="0"/>
        <v>0.113423</v>
      </c>
      <c r="Z28" s="124">
        <f t="shared" si="0"/>
        <v>0.113423</v>
      </c>
      <c r="AA28" s="124">
        <f t="shared" si="0"/>
        <v>0.113423</v>
      </c>
      <c r="AB28" s="124">
        <f t="shared" si="0"/>
        <v>0.113423</v>
      </c>
      <c r="AC28" s="124">
        <f t="shared" si="0"/>
        <v>0.113423</v>
      </c>
      <c r="AD28" s="124">
        <f t="shared" si="0"/>
        <v>0.113423</v>
      </c>
      <c r="AE28" s="124">
        <f t="shared" si="0"/>
        <v>0.113423</v>
      </c>
      <c r="AF28" s="124">
        <f t="shared" si="0"/>
        <v>0.113423</v>
      </c>
      <c r="AG28" s="124">
        <f t="shared" si="0"/>
        <v>0.113423</v>
      </c>
      <c r="AH28" s="124">
        <f t="shared" si="0"/>
        <v>0.113423</v>
      </c>
      <c r="AI28" s="124">
        <f t="shared" si="0"/>
        <v>0.113423</v>
      </c>
      <c r="AJ28" s="124">
        <f t="shared" si="0"/>
        <v>0.113423</v>
      </c>
      <c r="AK28" s="124">
        <f t="shared" si="0"/>
        <v>0.113423</v>
      </c>
      <c r="AL28" s="124">
        <f t="shared" si="0"/>
        <v>0.113423</v>
      </c>
      <c r="AM28" s="124">
        <f t="shared" si="0"/>
        <v>0.113423</v>
      </c>
      <c r="AN28" s="124">
        <f t="shared" si="0"/>
        <v>0.113423</v>
      </c>
      <c r="AO28" s="124">
        <f t="shared" si="0"/>
        <v>0.113423</v>
      </c>
      <c r="AP28" s="124">
        <f t="shared" si="0"/>
        <v>0.113423</v>
      </c>
      <c r="AQ28" s="124">
        <f t="shared" si="0"/>
        <v>0.11312</v>
      </c>
    </row>
    <row r="29" spans="1:73" s="97" customFormat="1" x14ac:dyDescent="0.25">
      <c r="A29" s="97" t="s">
        <v>6</v>
      </c>
      <c r="B29" s="97" t="s">
        <v>136</v>
      </c>
      <c r="C29" s="97" t="s">
        <v>175</v>
      </c>
      <c r="E29" s="97" t="s">
        <v>7</v>
      </c>
      <c r="F29" s="97" t="s">
        <v>135</v>
      </c>
      <c r="G29" s="97" t="s">
        <v>138</v>
      </c>
      <c r="K29" s="132">
        <v>-286.87299999999999</v>
      </c>
      <c r="L29" s="132">
        <v>-521.52300000000002</v>
      </c>
      <c r="M29" s="132">
        <v>-159.363</v>
      </c>
      <c r="N29" s="132">
        <v>-891.54399999999998</v>
      </c>
      <c r="O29" s="132">
        <v>-122.72</v>
      </c>
      <c r="P29" s="132">
        <v>-396.40499999999997</v>
      </c>
      <c r="Q29" s="132">
        <v>-396.40499999999997</v>
      </c>
      <c r="R29" s="132">
        <v>-396.40499999999997</v>
      </c>
      <c r="S29" s="132">
        <v>-396.40499999999997</v>
      </c>
      <c r="T29" s="132">
        <v>-396.40499999999997</v>
      </c>
      <c r="U29" s="132">
        <v>-396.40499999999997</v>
      </c>
      <c r="V29" s="132">
        <v>-396.40499999999997</v>
      </c>
      <c r="W29" s="132">
        <v>-396.40499999999997</v>
      </c>
      <c r="X29" s="132">
        <v>-396.40499999999997</v>
      </c>
      <c r="Y29" s="132">
        <v>-396.40499999999997</v>
      </c>
      <c r="Z29" s="132">
        <v>-396.40499999999997</v>
      </c>
      <c r="AA29" s="132">
        <v>-396.40499999999997</v>
      </c>
      <c r="AB29" s="132">
        <v>-396.40499999999997</v>
      </c>
      <c r="AC29" s="132">
        <v>-396.40499999999997</v>
      </c>
      <c r="AD29" s="132">
        <v>-396.40499999999997</v>
      </c>
      <c r="AE29" s="132">
        <v>-396.40499999999997</v>
      </c>
      <c r="AF29" s="132">
        <v>-396.40499999999997</v>
      </c>
      <c r="AG29" s="132">
        <v>-396.40499999999997</v>
      </c>
      <c r="AH29" s="132">
        <v>-396.40499999999997</v>
      </c>
      <c r="AI29" s="132">
        <v>-396.40499999999997</v>
      </c>
      <c r="AJ29" s="132">
        <v>-396.40499999999997</v>
      </c>
      <c r="AK29" s="132">
        <v>-396.40499999999997</v>
      </c>
      <c r="AL29" s="132">
        <v>-396.40499999999997</v>
      </c>
      <c r="AM29" s="132">
        <v>-396.40499999999997</v>
      </c>
      <c r="AN29" s="132">
        <v>-396.40499999999997</v>
      </c>
      <c r="AO29" s="132">
        <v>-396.40499999999997</v>
      </c>
      <c r="AP29" s="132">
        <v>-396.40499999999997</v>
      </c>
      <c r="AQ29" s="132">
        <v>-396.40499999999997</v>
      </c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  <c r="BN29" s="28"/>
      <c r="BO29" s="28"/>
      <c r="BP29" s="28"/>
      <c r="BQ29" s="28"/>
      <c r="BR29" s="28"/>
      <c r="BS29" s="28"/>
      <c r="BT29" s="28"/>
      <c r="BU29" s="28"/>
    </row>
    <row r="30" spans="1:73" s="97" customFormat="1" x14ac:dyDescent="0.25">
      <c r="A30" s="97" t="s">
        <v>6</v>
      </c>
      <c r="B30" s="97" t="s">
        <v>136</v>
      </c>
      <c r="C30" s="97" t="s">
        <v>176</v>
      </c>
      <c r="E30" s="97" t="s">
        <v>7</v>
      </c>
      <c r="F30" s="97" t="s">
        <v>135</v>
      </c>
      <c r="G30" s="97" t="s">
        <v>138</v>
      </c>
      <c r="K30" s="132">
        <v>927.76499999999999</v>
      </c>
      <c r="L30" s="132">
        <v>265.09100000000001</v>
      </c>
      <c r="M30" s="132">
        <v>185.56800000000001</v>
      </c>
      <c r="N30" s="132">
        <v>192.435</v>
      </c>
      <c r="O30" s="132">
        <v>174.797</v>
      </c>
      <c r="P30" s="132">
        <v>349.13099999999997</v>
      </c>
      <c r="Q30" s="132">
        <v>349.13099999999997</v>
      </c>
      <c r="R30" s="132">
        <v>349.13099999999997</v>
      </c>
      <c r="S30" s="132">
        <v>349.13099999999997</v>
      </c>
      <c r="T30" s="132">
        <v>349.13099999999997</v>
      </c>
      <c r="U30" s="132">
        <v>349.13099999999997</v>
      </c>
      <c r="V30" s="132">
        <v>349.13099999999997</v>
      </c>
      <c r="W30" s="132">
        <v>349.13099999999997</v>
      </c>
      <c r="X30" s="132">
        <v>349.13099999999997</v>
      </c>
      <c r="Y30" s="132">
        <v>349.13099999999997</v>
      </c>
      <c r="Z30" s="132">
        <v>349.13099999999997</v>
      </c>
      <c r="AA30" s="132">
        <v>349.13099999999997</v>
      </c>
      <c r="AB30" s="132">
        <v>349.13099999999997</v>
      </c>
      <c r="AC30" s="132">
        <v>349.13099999999997</v>
      </c>
      <c r="AD30" s="132">
        <v>349.13099999999997</v>
      </c>
      <c r="AE30" s="132">
        <v>349.13099999999997</v>
      </c>
      <c r="AF30" s="132">
        <v>349.13099999999997</v>
      </c>
      <c r="AG30" s="132">
        <v>349.13099999999997</v>
      </c>
      <c r="AH30" s="132">
        <v>349.13099999999997</v>
      </c>
      <c r="AI30" s="132">
        <v>349.13099999999997</v>
      </c>
      <c r="AJ30" s="132">
        <v>349.13099999999997</v>
      </c>
      <c r="AK30" s="132">
        <v>349.13099999999997</v>
      </c>
      <c r="AL30" s="132">
        <v>349.13099999999997</v>
      </c>
      <c r="AM30" s="132">
        <v>349.13099999999997</v>
      </c>
      <c r="AN30" s="132">
        <v>349.13099999999997</v>
      </c>
      <c r="AO30" s="132">
        <v>349.13099999999997</v>
      </c>
      <c r="AP30" s="132">
        <v>349.13099999999997</v>
      </c>
      <c r="AQ30" s="132">
        <v>349.13099999999997</v>
      </c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</row>
    <row r="31" spans="1:73" s="97" customFormat="1" x14ac:dyDescent="0.25">
      <c r="A31" s="97" t="s">
        <v>6</v>
      </c>
      <c r="B31" s="97" t="s">
        <v>136</v>
      </c>
      <c r="C31" s="97" t="s">
        <v>177</v>
      </c>
      <c r="E31" s="97" t="s">
        <v>7</v>
      </c>
      <c r="F31" s="97" t="s">
        <v>135</v>
      </c>
      <c r="G31" s="97" t="s">
        <v>138</v>
      </c>
      <c r="K31" s="132">
        <v>361.65800000000002</v>
      </c>
      <c r="L31" s="132">
        <v>267.31700000000001</v>
      </c>
      <c r="M31" s="132">
        <v>170.786</v>
      </c>
      <c r="N31" s="132">
        <v>175.715</v>
      </c>
      <c r="O31" s="132">
        <v>205.226</v>
      </c>
      <c r="P31" s="132">
        <v>236.14099999999999</v>
      </c>
      <c r="Q31" s="132">
        <v>236.14099999999999</v>
      </c>
      <c r="R31" s="132">
        <v>236.14099999999999</v>
      </c>
      <c r="S31" s="132">
        <v>236.14099999999999</v>
      </c>
      <c r="T31" s="132">
        <v>236.14099999999999</v>
      </c>
      <c r="U31" s="132">
        <v>236.14099999999999</v>
      </c>
      <c r="V31" s="132">
        <v>236.14099999999999</v>
      </c>
      <c r="W31" s="132">
        <v>236.14099999999999</v>
      </c>
      <c r="X31" s="132">
        <v>236.14099999999999</v>
      </c>
      <c r="Y31" s="132">
        <v>236.14099999999999</v>
      </c>
      <c r="Z31" s="132">
        <v>236.14099999999999</v>
      </c>
      <c r="AA31" s="132">
        <v>236.14099999999999</v>
      </c>
      <c r="AB31" s="132">
        <v>236.14099999999999</v>
      </c>
      <c r="AC31" s="132">
        <v>236.14099999999999</v>
      </c>
      <c r="AD31" s="132">
        <v>236.14099999999999</v>
      </c>
      <c r="AE31" s="132">
        <v>236.14099999999999</v>
      </c>
      <c r="AF31" s="132">
        <v>236.14099999999999</v>
      </c>
      <c r="AG31" s="132">
        <v>236.14099999999999</v>
      </c>
      <c r="AH31" s="132">
        <v>236.14099999999999</v>
      </c>
      <c r="AI31" s="132">
        <v>236.14099999999999</v>
      </c>
      <c r="AJ31" s="132">
        <v>236.14099999999999</v>
      </c>
      <c r="AK31" s="132">
        <v>236.14099999999999</v>
      </c>
      <c r="AL31" s="132">
        <v>236.14099999999999</v>
      </c>
      <c r="AM31" s="132">
        <v>236.14099999999999</v>
      </c>
      <c r="AN31" s="132">
        <v>236.14099999999999</v>
      </c>
      <c r="AO31" s="132">
        <v>236.14099999999999</v>
      </c>
      <c r="AP31" s="132">
        <v>236.14099999999999</v>
      </c>
      <c r="AQ31" s="132">
        <v>236.14099999999999</v>
      </c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</row>
    <row r="32" spans="1:73" s="97" customFormat="1" x14ac:dyDescent="0.25">
      <c r="A32" s="97" t="s">
        <v>6</v>
      </c>
      <c r="B32" s="97" t="s">
        <v>136</v>
      </c>
      <c r="C32" s="97" t="s">
        <v>178</v>
      </c>
      <c r="E32" s="97" t="s">
        <v>7</v>
      </c>
      <c r="F32" s="97" t="s">
        <v>135</v>
      </c>
      <c r="G32" s="97" t="s">
        <v>138</v>
      </c>
      <c r="K32" s="132">
        <v>5.9589999999999996</v>
      </c>
      <c r="L32" s="132">
        <v>5.9589999999999996</v>
      </c>
      <c r="M32" s="132">
        <v>5.9589999999999996</v>
      </c>
      <c r="N32" s="132">
        <v>3.2559999999999998</v>
      </c>
      <c r="O32" s="132">
        <v>6.0970000000000004</v>
      </c>
      <c r="P32" s="132">
        <v>5.4459999999999997</v>
      </c>
      <c r="Q32" s="132">
        <v>5.4459999999999997</v>
      </c>
      <c r="R32" s="132">
        <v>5.4459999999999997</v>
      </c>
      <c r="S32" s="132">
        <v>5.4459999999999997</v>
      </c>
      <c r="T32" s="132">
        <v>5.4459999999999997</v>
      </c>
      <c r="U32" s="132">
        <v>5.4459999999999997</v>
      </c>
      <c r="V32" s="132">
        <v>5.4459999999999997</v>
      </c>
      <c r="W32" s="132">
        <v>5.4459999999999997</v>
      </c>
      <c r="X32" s="132">
        <v>5.4459999999999997</v>
      </c>
      <c r="Y32" s="132">
        <v>5.4459999999999997</v>
      </c>
      <c r="Z32" s="132">
        <v>5.4459999999999997</v>
      </c>
      <c r="AA32" s="132">
        <v>5.4459999999999997</v>
      </c>
      <c r="AB32" s="132">
        <v>5.4459999999999997</v>
      </c>
      <c r="AC32" s="132">
        <v>5.4459999999999997</v>
      </c>
      <c r="AD32" s="132">
        <v>5.4459999999999997</v>
      </c>
      <c r="AE32" s="132">
        <v>5.4459999999999997</v>
      </c>
      <c r="AF32" s="132">
        <v>5.4459999999999997</v>
      </c>
      <c r="AG32" s="132">
        <v>5.4459999999999997</v>
      </c>
      <c r="AH32" s="132">
        <v>5.4459999999999997</v>
      </c>
      <c r="AI32" s="132">
        <v>5.4459999999999997</v>
      </c>
      <c r="AJ32" s="132">
        <v>5.4459999999999997</v>
      </c>
      <c r="AK32" s="132">
        <v>5.4459999999999997</v>
      </c>
      <c r="AL32" s="132">
        <v>5.4459999999999997</v>
      </c>
      <c r="AM32" s="132">
        <v>5.4459999999999997</v>
      </c>
      <c r="AN32" s="132">
        <v>5.4459999999999997</v>
      </c>
      <c r="AO32" s="132">
        <v>5.4459999999999997</v>
      </c>
      <c r="AP32" s="132">
        <v>5.4459999999999997</v>
      </c>
      <c r="AQ32" s="132">
        <v>5.4459999999999997</v>
      </c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</row>
  </sheetData>
  <pageMargins left="0.7" right="0.7" top="0.75" bottom="0.75" header="0.3" footer="0.3"/>
  <pageSetup orientation="portrait" horizontalDpi="200" verticalDpi="2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814E7-7771-4AA2-98CF-22F8526ED390}">
  <dimension ref="A1:AS11"/>
  <sheetViews>
    <sheetView zoomScale="115" zoomScaleNormal="115" workbookViewId="0">
      <pane ySplit="1" topLeftCell="A2" activePane="bottomLeft" state="frozen"/>
      <selection pane="bottomLeft" activeCell="B5" sqref="B5"/>
    </sheetView>
  </sheetViews>
  <sheetFormatPr defaultColWidth="8.85546875" defaultRowHeight="15" x14ac:dyDescent="0.25"/>
  <cols>
    <col min="1" max="1" width="11" bestFit="1" customWidth="1"/>
    <col min="2" max="2" width="40.140625" bestFit="1" customWidth="1"/>
    <col min="3" max="3" width="16.85546875" bestFit="1" customWidth="1"/>
    <col min="4" max="4" width="31.28515625" customWidth="1"/>
    <col min="5" max="5" width="30.7109375" bestFit="1" customWidth="1"/>
    <col min="6" max="6" width="12.42578125" customWidth="1"/>
    <col min="12" max="12" width="9.7109375" customWidth="1"/>
    <col min="13" max="45" width="14.28515625" bestFit="1" customWidth="1"/>
    <col min="46" max="46" width="12.28515625" bestFit="1" customWidth="1"/>
    <col min="116" max="116" width="12.28515625" bestFit="1" customWidth="1"/>
  </cols>
  <sheetData>
    <row r="1" spans="1:45" ht="45" x14ac:dyDescent="0.25">
      <c r="A1" s="86" t="s">
        <v>14</v>
      </c>
      <c r="B1" s="86" t="s">
        <v>11</v>
      </c>
      <c r="C1" s="86" t="s">
        <v>160</v>
      </c>
      <c r="D1" s="86" t="s">
        <v>161</v>
      </c>
      <c r="E1" s="87" t="s">
        <v>19</v>
      </c>
      <c r="F1" s="88" t="s">
        <v>40</v>
      </c>
      <c r="G1" s="86" t="s">
        <v>3</v>
      </c>
      <c r="H1" s="86" t="s">
        <v>47</v>
      </c>
      <c r="I1" s="86" t="s">
        <v>30</v>
      </c>
      <c r="J1" s="86" t="s">
        <v>31</v>
      </c>
      <c r="K1" s="86" t="s">
        <v>32</v>
      </c>
      <c r="L1" s="86" t="s">
        <v>33</v>
      </c>
      <c r="M1" s="86">
        <v>2018</v>
      </c>
      <c r="N1" s="86">
        <v>2019</v>
      </c>
      <c r="O1" s="89">
        <v>2020</v>
      </c>
      <c r="P1" s="89">
        <v>2021</v>
      </c>
      <c r="Q1" s="89">
        <v>2022</v>
      </c>
      <c r="R1" s="89">
        <v>2023</v>
      </c>
      <c r="S1" s="89">
        <v>2024</v>
      </c>
      <c r="T1" s="89">
        <v>2025</v>
      </c>
      <c r="U1" s="89">
        <v>2026</v>
      </c>
      <c r="V1" s="89">
        <v>2027</v>
      </c>
      <c r="W1" s="89">
        <v>2028</v>
      </c>
      <c r="X1" s="89">
        <v>2029</v>
      </c>
      <c r="Y1" s="89">
        <v>2030</v>
      </c>
      <c r="Z1" s="89">
        <v>2031</v>
      </c>
      <c r="AA1" s="89">
        <v>2032</v>
      </c>
      <c r="AB1" s="89">
        <v>2033</v>
      </c>
      <c r="AC1" s="89">
        <v>2034</v>
      </c>
      <c r="AD1" s="90">
        <v>2035</v>
      </c>
      <c r="AE1" s="89">
        <v>2036</v>
      </c>
      <c r="AF1" s="89">
        <v>2037</v>
      </c>
      <c r="AG1" s="89">
        <v>2038</v>
      </c>
      <c r="AH1" s="89">
        <v>2039</v>
      </c>
      <c r="AI1" s="89">
        <v>2040</v>
      </c>
      <c r="AJ1" s="89">
        <v>2041</v>
      </c>
      <c r="AK1" s="89">
        <v>2042</v>
      </c>
      <c r="AL1" s="89">
        <v>2043</v>
      </c>
      <c r="AM1" s="89">
        <v>2044</v>
      </c>
      <c r="AN1" s="89">
        <v>2045</v>
      </c>
      <c r="AO1" s="89">
        <v>2046</v>
      </c>
      <c r="AP1" s="89">
        <v>2047</v>
      </c>
      <c r="AQ1" s="89">
        <v>2048</v>
      </c>
      <c r="AR1" s="89">
        <v>2049</v>
      </c>
      <c r="AS1" s="89">
        <v>2050</v>
      </c>
    </row>
    <row r="2" spans="1:45" x14ac:dyDescent="0.25">
      <c r="A2" s="91" t="s">
        <v>6</v>
      </c>
      <c r="B2" s="51" t="s">
        <v>48</v>
      </c>
      <c r="C2" s="51" t="s">
        <v>152</v>
      </c>
      <c r="D2" s="51" t="s">
        <v>164</v>
      </c>
      <c r="E2" s="51" t="s">
        <v>165</v>
      </c>
      <c r="F2" s="51" t="s">
        <v>7</v>
      </c>
      <c r="G2" s="51" t="s">
        <v>135</v>
      </c>
      <c r="H2" s="51" t="s">
        <v>138</v>
      </c>
      <c r="I2" s="2"/>
      <c r="J2" s="2"/>
      <c r="K2" s="2"/>
      <c r="L2" s="2"/>
      <c r="M2" s="2">
        <v>3.0349999999999999E-3</v>
      </c>
      <c r="N2" s="2">
        <v>2.4355000000000002E-3</v>
      </c>
      <c r="O2" s="2">
        <v>3.1275000000000001E-3</v>
      </c>
      <c r="P2" s="2">
        <v>2.9375E-3</v>
      </c>
      <c r="Q2" s="2">
        <v>6.9347185937995715E-3</v>
      </c>
      <c r="R2" s="2">
        <v>8.3491013715099482E-2</v>
      </c>
      <c r="S2" s="2">
        <v>0.12838374796348573</v>
      </c>
      <c r="T2" s="2">
        <v>0.16603318904528575</v>
      </c>
      <c r="U2" s="2">
        <v>0.20075813613989912</v>
      </c>
      <c r="V2" s="2">
        <v>0.23577364735550943</v>
      </c>
      <c r="W2" s="2">
        <v>0.27366278663097776</v>
      </c>
      <c r="X2" s="2">
        <v>0.3095441803001775</v>
      </c>
      <c r="Y2" s="2">
        <v>0.34588404610718859</v>
      </c>
      <c r="Z2" s="2">
        <v>0.37758947778715601</v>
      </c>
      <c r="AA2" s="2">
        <v>0.40986532055862246</v>
      </c>
      <c r="AB2" s="2">
        <v>0.44291190375615064</v>
      </c>
      <c r="AC2" s="2">
        <v>0.47653181673644673</v>
      </c>
      <c r="AD2" s="77">
        <v>0.51092433139348525</v>
      </c>
      <c r="AE2" s="2">
        <v>0.53790122214870228</v>
      </c>
      <c r="AF2" s="2">
        <v>0.56505323354335202</v>
      </c>
      <c r="AG2" s="2">
        <v>0.59288706319977447</v>
      </c>
      <c r="AH2" s="2">
        <v>0.62119592621629449</v>
      </c>
      <c r="AI2" s="2">
        <v>0.64997308700305534</v>
      </c>
      <c r="AJ2" s="2">
        <v>0.67095545601246798</v>
      </c>
      <c r="AK2" s="2">
        <v>0.69184779594926371</v>
      </c>
      <c r="AL2" s="2">
        <v>0.71317566962725931</v>
      </c>
      <c r="AM2" s="2">
        <v>0.73470815999214811</v>
      </c>
      <c r="AN2" s="2">
        <v>0.75668302768784756</v>
      </c>
      <c r="AO2" s="2">
        <v>0.7707559532795345</v>
      </c>
      <c r="AP2" s="2">
        <v>0.78453112188879315</v>
      </c>
      <c r="AQ2" s="2">
        <v>0.79854480412325279</v>
      </c>
      <c r="AR2" s="2">
        <v>0.81280920839602544</v>
      </c>
      <c r="AS2" s="2">
        <v>0.80608066725827587</v>
      </c>
    </row>
    <row r="3" spans="1:45" x14ac:dyDescent="0.25">
      <c r="A3" s="91" t="s">
        <v>6</v>
      </c>
      <c r="B3" s="51" t="s">
        <v>49</v>
      </c>
      <c r="C3" s="51" t="s">
        <v>152</v>
      </c>
      <c r="D3" s="51" t="s">
        <v>164</v>
      </c>
      <c r="E3" s="51" t="s">
        <v>165</v>
      </c>
      <c r="F3" s="51" t="s">
        <v>7</v>
      </c>
      <c r="G3" s="51" t="s">
        <v>135</v>
      </c>
      <c r="H3" s="51" t="s">
        <v>138</v>
      </c>
      <c r="I3" s="2"/>
      <c r="J3" s="2"/>
      <c r="K3" s="2"/>
      <c r="L3" s="2"/>
      <c r="M3" s="2">
        <f>+M2*1.1</f>
        <v>3.3385000000000003E-3</v>
      </c>
      <c r="N3" s="2">
        <f t="shared" ref="N3:AS3" si="0">+N2*1.1</f>
        <v>2.6790500000000005E-3</v>
      </c>
      <c r="O3" s="2">
        <f t="shared" si="0"/>
        <v>3.4402500000000002E-3</v>
      </c>
      <c r="P3" s="2">
        <f t="shared" si="0"/>
        <v>3.2312500000000002E-3</v>
      </c>
      <c r="Q3" s="2">
        <f t="shared" si="0"/>
        <v>7.6281904531795295E-3</v>
      </c>
      <c r="R3" s="2">
        <f t="shared" si="0"/>
        <v>9.1840115086609442E-2</v>
      </c>
      <c r="S3" s="2">
        <f t="shared" si="0"/>
        <v>0.14122212275983431</v>
      </c>
      <c r="T3" s="2">
        <f t="shared" si="0"/>
        <v>0.18263650794981434</v>
      </c>
      <c r="U3" s="2">
        <f t="shared" si="0"/>
        <v>0.22083394975388906</v>
      </c>
      <c r="V3" s="2">
        <f t="shared" si="0"/>
        <v>0.25935101209106037</v>
      </c>
      <c r="W3" s="2">
        <f t="shared" si="0"/>
        <v>0.30102906529407558</v>
      </c>
      <c r="X3" s="2">
        <f t="shared" si="0"/>
        <v>0.34049859833019525</v>
      </c>
      <c r="Y3" s="2">
        <f t="shared" si="0"/>
        <v>0.38047245071790747</v>
      </c>
      <c r="Z3" s="2">
        <f t="shared" si="0"/>
        <v>0.41534842556587165</v>
      </c>
      <c r="AA3" s="2">
        <f t="shared" si="0"/>
        <v>0.45085185261448474</v>
      </c>
      <c r="AB3" s="2">
        <f t="shared" si="0"/>
        <v>0.48720309413176577</v>
      </c>
      <c r="AC3" s="2">
        <f t="shared" si="0"/>
        <v>0.52418499841009147</v>
      </c>
      <c r="AD3" s="77">
        <f t="shared" si="0"/>
        <v>0.56201676453283378</v>
      </c>
      <c r="AE3" s="2">
        <f t="shared" si="0"/>
        <v>0.59169134436357251</v>
      </c>
      <c r="AF3" s="2">
        <f t="shared" si="0"/>
        <v>0.62155855689768724</v>
      </c>
      <c r="AG3" s="2">
        <f t="shared" si="0"/>
        <v>0.65217576951975198</v>
      </c>
      <c r="AH3" s="2">
        <f t="shared" si="0"/>
        <v>0.68331551883792396</v>
      </c>
      <c r="AI3" s="2">
        <f t="shared" si="0"/>
        <v>0.71497039570336096</v>
      </c>
      <c r="AJ3" s="2">
        <f t="shared" si="0"/>
        <v>0.73805100161371484</v>
      </c>
      <c r="AK3" s="2">
        <f t="shared" si="0"/>
        <v>0.76103257554419013</v>
      </c>
      <c r="AL3" s="2">
        <f t="shared" si="0"/>
        <v>0.78449323658998527</v>
      </c>
      <c r="AM3" s="2">
        <f t="shared" si="0"/>
        <v>0.80817897599136301</v>
      </c>
      <c r="AN3" s="2">
        <f t="shared" si="0"/>
        <v>0.83235133045663234</v>
      </c>
      <c r="AO3" s="2">
        <f t="shared" si="0"/>
        <v>0.84783154860748799</v>
      </c>
      <c r="AP3" s="2">
        <f t="shared" si="0"/>
        <v>0.86298423407767255</v>
      </c>
      <c r="AQ3" s="2">
        <f t="shared" si="0"/>
        <v>0.87839928453557814</v>
      </c>
      <c r="AR3" s="2">
        <f t="shared" si="0"/>
        <v>0.89409012923562803</v>
      </c>
      <c r="AS3" s="2">
        <f t="shared" si="0"/>
        <v>0.88668873398410353</v>
      </c>
    </row>
    <row r="4" spans="1:45" s="79" customFormat="1" x14ac:dyDescent="0.25">
      <c r="A4" s="92" t="s">
        <v>6</v>
      </c>
      <c r="B4" s="85" t="s">
        <v>49</v>
      </c>
      <c r="C4" s="85" t="s">
        <v>151</v>
      </c>
      <c r="D4" s="85" t="s">
        <v>164</v>
      </c>
      <c r="E4" s="85" t="s">
        <v>165</v>
      </c>
      <c r="F4" s="85" t="s">
        <v>7</v>
      </c>
      <c r="G4" s="85" t="s">
        <v>135</v>
      </c>
      <c r="H4" s="85" t="s">
        <v>138</v>
      </c>
      <c r="I4" s="84"/>
      <c r="J4" s="84"/>
      <c r="K4" s="84"/>
      <c r="L4" s="84"/>
      <c r="M4" s="93">
        <v>2.3229999999999897E-2</v>
      </c>
      <c r="N4" s="93">
        <v>2.3229999999999897E-2</v>
      </c>
      <c r="O4" s="93">
        <v>2.3229999999999907E-2</v>
      </c>
      <c r="P4" s="93">
        <v>2.3229999999999907E-2</v>
      </c>
      <c r="Q4" s="93">
        <v>2.5052546867534588E-2</v>
      </c>
      <c r="R4" s="93">
        <v>5.8351107651104295E-2</v>
      </c>
      <c r="S4" s="93">
        <v>7.7991887683652908E-2</v>
      </c>
      <c r="T4" s="93">
        <v>9.705061049390562E-2</v>
      </c>
      <c r="U4" s="93">
        <v>0.11221994759463702</v>
      </c>
      <c r="V4" s="93">
        <v>0.12750749725222468</v>
      </c>
      <c r="W4" s="93">
        <v>0.14403435996655084</v>
      </c>
      <c r="X4" s="93">
        <v>0.15970245020791055</v>
      </c>
      <c r="Y4" s="93">
        <v>0.17554967597010179</v>
      </c>
      <c r="Z4" s="93">
        <v>0.18939823268663286</v>
      </c>
      <c r="AA4" s="93">
        <v>0.20348164333294641</v>
      </c>
      <c r="AB4" s="93">
        <v>0.21789883782311814</v>
      </c>
      <c r="AC4" s="93">
        <v>0.23256475287628522</v>
      </c>
      <c r="AD4" s="93">
        <v>0.24756481009497497</v>
      </c>
      <c r="AE4" s="93">
        <v>0.25937035535617475</v>
      </c>
      <c r="AF4" s="93">
        <v>0.27123374219063273</v>
      </c>
      <c r="AG4" s="93">
        <v>0.28339189523711072</v>
      </c>
      <c r="AH4" s="93">
        <v>0.29575621857487272</v>
      </c>
      <c r="AI4" s="93">
        <v>0.30832330403620195</v>
      </c>
      <c r="AJ4" s="93">
        <v>0.31753174804790035</v>
      </c>
      <c r="AK4" s="93">
        <v>0.32668288740146534</v>
      </c>
      <c r="AL4" s="93">
        <v>0.33602205143335279</v>
      </c>
      <c r="AM4" s="93">
        <v>0.3454502777946768</v>
      </c>
      <c r="AN4" s="93">
        <v>0.35506947863651289</v>
      </c>
      <c r="AO4" s="93">
        <v>0.36128381712402119</v>
      </c>
      <c r="AP4" s="93">
        <v>0.36735106931528488</v>
      </c>
      <c r="AQ4" s="93">
        <v>0.37352095070032787</v>
      </c>
      <c r="AR4" s="93">
        <v>0.37979931978555143</v>
      </c>
      <c r="AS4" s="93">
        <v>0.37703012677475611</v>
      </c>
    </row>
    <row r="5" spans="1:45" s="79" customFormat="1" x14ac:dyDescent="0.25">
      <c r="A5" s="92" t="s">
        <v>6</v>
      </c>
      <c r="B5" s="85" t="s">
        <v>48</v>
      </c>
      <c r="C5" s="85" t="s">
        <v>151</v>
      </c>
      <c r="D5" s="85" t="s">
        <v>164</v>
      </c>
      <c r="E5" s="85" t="s">
        <v>165</v>
      </c>
      <c r="F5" s="85" t="s">
        <v>7</v>
      </c>
      <c r="G5" s="85" t="s">
        <v>135</v>
      </c>
      <c r="H5" s="85" t="s">
        <v>138</v>
      </c>
      <c r="I5" s="84"/>
      <c r="J5" s="84"/>
      <c r="K5" s="84"/>
      <c r="L5" s="84"/>
      <c r="M5" s="93">
        <v>2.2769999999999901E-2</v>
      </c>
      <c r="N5" s="93">
        <v>2.2769999999999901E-2</v>
      </c>
      <c r="O5" s="93">
        <v>2.2769999999999912E-2</v>
      </c>
      <c r="P5" s="93">
        <v>2.2769999999999912E-2</v>
      </c>
      <c r="Q5" s="93">
        <v>2.4556456830553706E-2</v>
      </c>
      <c r="R5" s="93">
        <v>5.7195640172864604E-2</v>
      </c>
      <c r="S5" s="93">
        <v>7.6447493868135027E-2</v>
      </c>
      <c r="T5" s="93">
        <v>9.5128816226699553E-2</v>
      </c>
      <c r="U5" s="93">
        <v>0.1099977704145452</v>
      </c>
      <c r="V5" s="93">
        <v>0.12498259631653706</v>
      </c>
      <c r="W5" s="93">
        <v>0.14118219442265872</v>
      </c>
      <c r="X5" s="93">
        <v>0.15654002545131826</v>
      </c>
      <c r="Y5" s="93">
        <v>0.17207344476277303</v>
      </c>
      <c r="Z5" s="93">
        <v>0.18564777263343218</v>
      </c>
      <c r="AA5" s="93">
        <v>0.19945230386100685</v>
      </c>
      <c r="AB5" s="93">
        <v>0.21358400935137323</v>
      </c>
      <c r="AC5" s="93">
        <v>0.22795951024507163</v>
      </c>
      <c r="AD5" s="93">
        <v>0.24266253662774775</v>
      </c>
      <c r="AE5" s="93">
        <v>0.25423430871545843</v>
      </c>
      <c r="AF5" s="93">
        <v>0.265862776998739</v>
      </c>
      <c r="AG5" s="93">
        <v>0.27778017453934611</v>
      </c>
      <c r="AH5" s="93">
        <v>0.28989965979121185</v>
      </c>
      <c r="AI5" s="93">
        <v>0.30221789207508903</v>
      </c>
      <c r="AJ5" s="93">
        <v>0.31124399066081326</v>
      </c>
      <c r="AK5" s="93">
        <v>0.32021391933410959</v>
      </c>
      <c r="AL5" s="93">
        <v>0.32936814942477149</v>
      </c>
      <c r="AM5" s="93">
        <v>0.3386096782343862</v>
      </c>
      <c r="AN5" s="93">
        <v>0.34803839985163149</v>
      </c>
      <c r="AO5" s="93">
        <v>0.35412968213146628</v>
      </c>
      <c r="AP5" s="93">
        <v>0.36007679071498216</v>
      </c>
      <c r="AQ5" s="93">
        <v>0.3661244962310144</v>
      </c>
      <c r="AR5" s="93">
        <v>0.37227854117593656</v>
      </c>
      <c r="AS5" s="93">
        <v>0.36956418367030552</v>
      </c>
    </row>
    <row r="6" spans="1:45" s="79" customFormat="1" x14ac:dyDescent="0.25">
      <c r="A6" s="92" t="s">
        <v>6</v>
      </c>
      <c r="B6" s="85" t="s">
        <v>49</v>
      </c>
      <c r="C6" s="85" t="s">
        <v>153</v>
      </c>
      <c r="D6" s="85" t="s">
        <v>164</v>
      </c>
      <c r="E6" s="85" t="s">
        <v>165</v>
      </c>
      <c r="F6" s="85" t="s">
        <v>7</v>
      </c>
      <c r="G6" s="85" t="s">
        <v>135</v>
      </c>
      <c r="H6" s="85" t="s">
        <v>138</v>
      </c>
      <c r="I6" s="84"/>
      <c r="J6" s="84"/>
      <c r="K6" s="84"/>
      <c r="L6" s="84"/>
      <c r="M6" s="93">
        <v>6.0600000000000055E-3</v>
      </c>
      <c r="N6" s="93">
        <v>8.0800000000000073E-3</v>
      </c>
      <c r="O6" s="93">
        <v>6.0599999999997808E-3</v>
      </c>
      <c r="P6" s="93">
        <v>9.0899999999998968E-3</v>
      </c>
      <c r="Q6" s="93">
        <v>1.4520866286709703E-2</v>
      </c>
      <c r="R6" s="93">
        <v>0.15125815686428268</v>
      </c>
      <c r="S6" s="93">
        <v>0.23558031976675756</v>
      </c>
      <c r="T6" s="93">
        <v>0.31332740535412984</v>
      </c>
      <c r="U6" s="93">
        <v>0.37518677271357448</v>
      </c>
      <c r="V6" s="93">
        <v>0.43708603068538171</v>
      </c>
      <c r="W6" s="93">
        <v>0.50373548310671501</v>
      </c>
      <c r="X6" s="93">
        <v>0.56752219924673764</v>
      </c>
      <c r="Y6" s="93">
        <v>0.63187091511215743</v>
      </c>
      <c r="Z6" s="93">
        <v>0.68857500795008886</v>
      </c>
      <c r="AA6" s="93">
        <v>0.74552621705965594</v>
      </c>
      <c r="AB6" s="93">
        <v>0.80384200611759604</v>
      </c>
      <c r="AC6" s="93">
        <v>0.86320110678385997</v>
      </c>
      <c r="AD6" s="93">
        <v>0.92389996721052325</v>
      </c>
      <c r="AE6" s="93">
        <v>0.97258863623039782</v>
      </c>
      <c r="AF6" s="93">
        <v>1.0204616004772404</v>
      </c>
      <c r="AG6" s="93">
        <v>1.0695103993269801</v>
      </c>
      <c r="AH6" s="93">
        <v>1.1194303122850222</v>
      </c>
      <c r="AI6" s="93">
        <v>1.1701786273343435</v>
      </c>
      <c r="AJ6" s="93">
        <v>1.2082527438219703</v>
      </c>
      <c r="AK6" s="93">
        <v>1.2450235004776729</v>
      </c>
      <c r="AL6" s="93">
        <v>1.2825304483022366</v>
      </c>
      <c r="AM6" s="93">
        <v>1.3204316023481271</v>
      </c>
      <c r="AN6" s="93">
        <v>1.3590801434549939</v>
      </c>
      <c r="AO6" s="93">
        <v>1.3848769477625278</v>
      </c>
      <c r="AP6" s="93">
        <v>1.4090152166773962</v>
      </c>
      <c r="AQ6" s="93">
        <v>1.4335376296534055</v>
      </c>
      <c r="AR6" s="93">
        <v>1.4585015878363583</v>
      </c>
      <c r="AS6" s="93">
        <v>1.4491932120389897</v>
      </c>
    </row>
    <row r="7" spans="1:45" s="79" customFormat="1" x14ac:dyDescent="0.25">
      <c r="A7" s="127" t="s">
        <v>6</v>
      </c>
      <c r="B7" s="128" t="s">
        <v>48</v>
      </c>
      <c r="C7" s="128" t="s">
        <v>153</v>
      </c>
      <c r="D7" s="128" t="s">
        <v>164</v>
      </c>
      <c r="E7" s="128" t="s">
        <v>165</v>
      </c>
      <c r="F7" s="128" t="s">
        <v>7</v>
      </c>
      <c r="G7" s="128" t="s">
        <v>135</v>
      </c>
      <c r="H7" s="128" t="s">
        <v>138</v>
      </c>
      <c r="I7" s="129"/>
      <c r="J7" s="129"/>
      <c r="K7" s="129"/>
      <c r="L7" s="129"/>
      <c r="M7" s="130">
        <v>5.9400000000000052E-3</v>
      </c>
      <c r="N7" s="130">
        <v>7.9200000000000069E-3</v>
      </c>
      <c r="O7" s="130">
        <v>5.9399999999997857E-3</v>
      </c>
      <c r="P7" s="130">
        <v>8.9099999999998972E-3</v>
      </c>
      <c r="Q7" s="130">
        <v>1.4233324380042186E-2</v>
      </c>
      <c r="R7" s="130">
        <v>0.14826294583726718</v>
      </c>
      <c r="S7" s="130">
        <v>0.23091536293969303</v>
      </c>
      <c r="T7" s="130">
        <v>0.30712290227781047</v>
      </c>
      <c r="U7" s="130">
        <v>0.36775733166974134</v>
      </c>
      <c r="V7" s="130">
        <v>0.42843086176091866</v>
      </c>
      <c r="W7" s="130">
        <v>0.49376052304519591</v>
      </c>
      <c r="X7" s="130">
        <v>0.556284135895317</v>
      </c>
      <c r="Y7" s="130">
        <v>0.6193586197634019</v>
      </c>
      <c r="Z7" s="130">
        <v>0.67493985927780986</v>
      </c>
      <c r="AA7" s="130">
        <v>0.73076332167233593</v>
      </c>
      <c r="AB7" s="130">
        <v>0.7879243426301189</v>
      </c>
      <c r="AC7" s="130">
        <v>0.84610801556041715</v>
      </c>
      <c r="AD7" s="130">
        <v>0.90560491835486934</v>
      </c>
      <c r="AE7" s="130">
        <v>0.9533294553149444</v>
      </c>
      <c r="AF7" s="130">
        <v>1.0002544400717506</v>
      </c>
      <c r="AG7" s="130">
        <v>1.048331975577931</v>
      </c>
      <c r="AH7" s="130">
        <v>1.0972633754080912</v>
      </c>
      <c r="AI7" s="130">
        <v>1.1470067733277229</v>
      </c>
      <c r="AJ7" s="130">
        <v>1.1843269469146047</v>
      </c>
      <c r="AK7" s="130">
        <v>1.2203695697751447</v>
      </c>
      <c r="AL7" s="130">
        <v>1.2571338057615984</v>
      </c>
      <c r="AM7" s="130">
        <v>1.2942844419055897</v>
      </c>
      <c r="AN7" s="130">
        <v>1.3321676653667762</v>
      </c>
      <c r="AO7" s="130">
        <v>1.3574536418662402</v>
      </c>
      <c r="AP7" s="130">
        <v>1.3811139252580418</v>
      </c>
      <c r="AQ7" s="130">
        <v>1.4051507458978925</v>
      </c>
      <c r="AR7" s="130">
        <v>1.4296203682752422</v>
      </c>
      <c r="AS7" s="130">
        <v>1.4204963167510889</v>
      </c>
    </row>
    <row r="8" spans="1:45" s="31" customFormat="1" x14ac:dyDescent="0.25">
      <c r="A8" s="126" t="s">
        <v>6</v>
      </c>
      <c r="B8" s="126" t="s">
        <v>162</v>
      </c>
      <c r="C8" s="31" t="s">
        <v>179</v>
      </c>
      <c r="D8" s="31" t="s">
        <v>163</v>
      </c>
      <c r="F8" s="31" t="s">
        <v>7</v>
      </c>
      <c r="G8" s="31" t="s">
        <v>135</v>
      </c>
      <c r="H8" s="31" t="s">
        <v>138</v>
      </c>
      <c r="M8" s="142">
        <v>1.2409999999999999E-2</v>
      </c>
      <c r="N8" s="142">
        <v>6.8300000000000001E-3</v>
      </c>
      <c r="O8" s="142">
        <v>2.2349999999999998E-2</v>
      </c>
      <c r="P8" s="142">
        <v>3.7200000000000002E-3</v>
      </c>
      <c r="Q8" s="142">
        <v>3.3520000000000001E-2</v>
      </c>
      <c r="R8" s="142">
        <v>1.6E-2</v>
      </c>
      <c r="S8" s="142">
        <v>1.6E-2</v>
      </c>
      <c r="T8" s="142">
        <v>1.6E-2</v>
      </c>
      <c r="U8" s="142">
        <v>1.6E-2</v>
      </c>
      <c r="V8" s="142">
        <v>1.6E-2</v>
      </c>
      <c r="W8" s="142">
        <v>1.6E-2</v>
      </c>
      <c r="X8" s="142">
        <v>1.6E-2</v>
      </c>
      <c r="Y8" s="142">
        <v>1.6E-2</v>
      </c>
      <c r="Z8" s="142">
        <v>1.6E-2</v>
      </c>
      <c r="AA8" s="142">
        <v>1.6E-2</v>
      </c>
      <c r="AB8" s="142">
        <v>1.6E-2</v>
      </c>
      <c r="AC8" s="142">
        <v>1.6E-2</v>
      </c>
      <c r="AD8" s="142">
        <v>1.6E-2</v>
      </c>
      <c r="AE8" s="142">
        <v>1.6E-2</v>
      </c>
      <c r="AF8" s="142">
        <v>1.6E-2</v>
      </c>
      <c r="AG8" s="142">
        <v>1.6E-2</v>
      </c>
      <c r="AH8" s="142">
        <v>1.6E-2</v>
      </c>
      <c r="AI8" s="142">
        <v>1.6E-2</v>
      </c>
      <c r="AJ8" s="142">
        <v>1.6E-2</v>
      </c>
      <c r="AK8" s="142">
        <v>1.6E-2</v>
      </c>
      <c r="AL8" s="142">
        <v>1.6E-2</v>
      </c>
      <c r="AM8" s="142">
        <v>1.6E-2</v>
      </c>
      <c r="AN8" s="142">
        <v>1.6E-2</v>
      </c>
      <c r="AO8" s="142">
        <v>1.6E-2</v>
      </c>
      <c r="AP8" s="142">
        <v>1.6E-2</v>
      </c>
      <c r="AQ8" s="142">
        <v>1.6E-2</v>
      </c>
      <c r="AR8" s="142">
        <v>1.6E-2</v>
      </c>
      <c r="AS8" s="142">
        <v>1.6E-2</v>
      </c>
    </row>
    <row r="9" spans="1:45" s="31" customFormat="1" x14ac:dyDescent="0.25">
      <c r="A9" s="126" t="s">
        <v>6</v>
      </c>
      <c r="B9" s="126" t="s">
        <v>162</v>
      </c>
      <c r="C9" s="31" t="s">
        <v>180</v>
      </c>
      <c r="D9" s="31" t="s">
        <v>163</v>
      </c>
      <c r="F9" s="31" t="s">
        <v>7</v>
      </c>
      <c r="G9" s="31" t="s">
        <v>135</v>
      </c>
      <c r="H9" s="31" t="s">
        <v>138</v>
      </c>
      <c r="M9" s="142">
        <v>2.48E-3</v>
      </c>
      <c r="N9" s="142">
        <v>8.6899999999999998E-3</v>
      </c>
      <c r="O9" s="142">
        <v>1.2409999999999999E-2</v>
      </c>
      <c r="P9" s="142">
        <v>9.9299999999999996E-3</v>
      </c>
      <c r="Q9" s="142">
        <v>1.6140000000000002E-2</v>
      </c>
      <c r="R9" s="142">
        <v>6.2100000000000002E-3</v>
      </c>
      <c r="S9" s="142">
        <v>6.2100000000000002E-3</v>
      </c>
      <c r="T9" s="142">
        <v>6.2100000000000002E-3</v>
      </c>
      <c r="U9" s="142">
        <v>6.2100000000000002E-3</v>
      </c>
      <c r="V9" s="142">
        <v>6.2100000000000002E-3</v>
      </c>
      <c r="W9" s="142">
        <v>6.2100000000000002E-3</v>
      </c>
      <c r="X9" s="142">
        <v>6.2100000000000002E-3</v>
      </c>
      <c r="Y9" s="142">
        <v>5.4799999999999996E-3</v>
      </c>
      <c r="Z9" s="142">
        <v>5.4799999999999996E-3</v>
      </c>
      <c r="AA9" s="142">
        <v>5.4799999999999996E-3</v>
      </c>
      <c r="AB9" s="142">
        <v>5.4799999999999996E-3</v>
      </c>
      <c r="AC9" s="142">
        <v>5.4799999999999996E-3</v>
      </c>
      <c r="AD9" s="142">
        <v>5.4799999999999996E-3</v>
      </c>
      <c r="AE9" s="142">
        <v>5.4799999999999996E-3</v>
      </c>
      <c r="AF9" s="142">
        <v>5.4799999999999996E-3</v>
      </c>
      <c r="AG9" s="142">
        <v>5.4799999999999996E-3</v>
      </c>
      <c r="AH9" s="142">
        <v>5.4799999999999996E-3</v>
      </c>
      <c r="AI9" s="142">
        <v>5.4799999999999996E-3</v>
      </c>
      <c r="AJ9" s="142">
        <v>5.4799999999999996E-3</v>
      </c>
      <c r="AK9" s="142">
        <v>5.4799999999999996E-3</v>
      </c>
      <c r="AL9" s="142">
        <v>5.4799999999999996E-3</v>
      </c>
      <c r="AM9" s="142">
        <v>5.4799999999999996E-3</v>
      </c>
      <c r="AN9" s="142">
        <v>5.4799999999999996E-3</v>
      </c>
      <c r="AO9" s="142">
        <v>5.4799999999999996E-3</v>
      </c>
      <c r="AP9" s="142">
        <v>5.4799999999999996E-3</v>
      </c>
      <c r="AQ9" s="142">
        <v>5.4799999999999996E-3</v>
      </c>
      <c r="AR9" s="142">
        <v>5.4799999999999996E-3</v>
      </c>
      <c r="AS9" s="142">
        <v>5.4799999999999996E-3</v>
      </c>
    </row>
    <row r="10" spans="1:45" s="31" customFormat="1" x14ac:dyDescent="0.25">
      <c r="A10" s="126" t="s">
        <v>6</v>
      </c>
      <c r="B10" s="126" t="s">
        <v>162</v>
      </c>
      <c r="C10" s="31" t="s">
        <v>181</v>
      </c>
      <c r="D10" s="31" t="s">
        <v>163</v>
      </c>
      <c r="F10" s="31" t="s">
        <v>7</v>
      </c>
      <c r="G10" s="31" t="s">
        <v>135</v>
      </c>
      <c r="H10" s="31" t="s">
        <v>138</v>
      </c>
      <c r="M10" s="142">
        <v>1.055E-2</v>
      </c>
      <c r="N10" s="142">
        <v>1.4279999999999999E-2</v>
      </c>
      <c r="O10" s="142">
        <v>2.2349999999999998E-2</v>
      </c>
      <c r="P10" s="142">
        <v>1.6760000000000001E-2</v>
      </c>
      <c r="Q10" s="142">
        <v>2.4209999999999999E-2</v>
      </c>
      <c r="R10" s="142">
        <v>1.9460000000000002E-2</v>
      </c>
      <c r="S10" s="142">
        <v>1.9460000000000002E-2</v>
      </c>
      <c r="T10" s="142">
        <v>1.9460000000000002E-2</v>
      </c>
      <c r="U10" s="142">
        <v>1.9460000000000002E-2</v>
      </c>
      <c r="V10" s="142">
        <v>1.9460000000000002E-2</v>
      </c>
      <c r="W10" s="142">
        <v>1.9460000000000002E-2</v>
      </c>
      <c r="X10" s="142">
        <v>1.9460000000000002E-2</v>
      </c>
      <c r="Y10" s="142">
        <v>9.2800000000000001E-3</v>
      </c>
      <c r="Z10" s="142">
        <v>9.2800000000000001E-3</v>
      </c>
      <c r="AA10" s="142">
        <v>9.2800000000000001E-3</v>
      </c>
      <c r="AB10" s="142">
        <v>9.2800000000000001E-3</v>
      </c>
      <c r="AC10" s="142">
        <v>9.2800000000000001E-3</v>
      </c>
      <c r="AD10" s="142">
        <v>9.2800000000000001E-3</v>
      </c>
      <c r="AE10" s="142">
        <v>9.2800000000000001E-3</v>
      </c>
      <c r="AF10" s="142">
        <v>9.2800000000000001E-3</v>
      </c>
      <c r="AG10" s="142">
        <v>9.2800000000000001E-3</v>
      </c>
      <c r="AH10" s="142">
        <v>9.2800000000000001E-3</v>
      </c>
      <c r="AI10" s="142">
        <v>9.2800000000000001E-3</v>
      </c>
      <c r="AJ10" s="142">
        <v>9.2800000000000001E-3</v>
      </c>
      <c r="AK10" s="142">
        <v>9.2800000000000001E-3</v>
      </c>
      <c r="AL10" s="142">
        <v>9.2800000000000001E-3</v>
      </c>
      <c r="AM10" s="142">
        <v>9.2800000000000001E-3</v>
      </c>
      <c r="AN10" s="142">
        <v>9.2800000000000001E-3</v>
      </c>
      <c r="AO10" s="142">
        <v>9.2800000000000001E-3</v>
      </c>
      <c r="AP10" s="142">
        <v>9.2800000000000001E-3</v>
      </c>
      <c r="AQ10" s="142">
        <v>9.2800000000000001E-3</v>
      </c>
      <c r="AR10" s="142">
        <v>9.2800000000000001E-3</v>
      </c>
      <c r="AS10" s="142">
        <v>9.2800000000000001E-3</v>
      </c>
    </row>
    <row r="11" spans="1:45" s="31" customFormat="1" x14ac:dyDescent="0.25">
      <c r="A11" s="126" t="s">
        <v>6</v>
      </c>
      <c r="B11" s="126" t="s">
        <v>162</v>
      </c>
      <c r="C11" s="31" t="s">
        <v>182</v>
      </c>
      <c r="D11" s="31" t="s">
        <v>163</v>
      </c>
      <c r="F11" s="31" t="s">
        <v>7</v>
      </c>
      <c r="G11" s="31" t="s">
        <v>135</v>
      </c>
      <c r="H11" s="31" t="s">
        <v>138</v>
      </c>
      <c r="M11" s="142">
        <v>0.1123</v>
      </c>
      <c r="N11" s="142">
        <v>0.1123</v>
      </c>
      <c r="O11" s="142">
        <v>0.1123</v>
      </c>
      <c r="P11" s="142">
        <v>0.1123</v>
      </c>
      <c r="Q11" s="142">
        <v>0.1123</v>
      </c>
      <c r="R11" s="142">
        <v>0.1123</v>
      </c>
      <c r="S11" s="142">
        <v>0.1123</v>
      </c>
      <c r="T11" s="142">
        <v>0.1123</v>
      </c>
      <c r="U11" s="142">
        <v>0.1123</v>
      </c>
      <c r="V11" s="142">
        <v>0.1123</v>
      </c>
      <c r="W11" s="142">
        <v>0.1123</v>
      </c>
      <c r="X11" s="142">
        <v>0.1123</v>
      </c>
      <c r="Y11" s="142">
        <v>0.1123</v>
      </c>
      <c r="Z11" s="142">
        <v>0.1123</v>
      </c>
      <c r="AA11" s="142">
        <v>0.1123</v>
      </c>
      <c r="AB11" s="142">
        <v>0.1123</v>
      </c>
      <c r="AC11" s="142">
        <v>0.1123</v>
      </c>
      <c r="AD11" s="142">
        <v>0.1123</v>
      </c>
      <c r="AE11" s="142">
        <v>0.1123</v>
      </c>
      <c r="AF11" s="142">
        <v>0.1123</v>
      </c>
      <c r="AG11" s="142">
        <v>0.1123</v>
      </c>
      <c r="AH11" s="142">
        <v>0.1123</v>
      </c>
      <c r="AI11" s="142">
        <v>0.1123</v>
      </c>
      <c r="AJ11" s="142">
        <v>0.1123</v>
      </c>
      <c r="AK11" s="142">
        <v>0.1123</v>
      </c>
      <c r="AL11" s="142">
        <v>0.1123</v>
      </c>
      <c r="AM11" s="142">
        <v>0.1123</v>
      </c>
      <c r="AN11" s="142">
        <v>0.1123</v>
      </c>
      <c r="AO11" s="142">
        <v>0.1123</v>
      </c>
      <c r="AP11" s="142">
        <v>0.1123</v>
      </c>
      <c r="AQ11" s="142">
        <v>0.1123</v>
      </c>
      <c r="AR11" s="142">
        <v>0.1123</v>
      </c>
      <c r="AS11" s="142">
        <v>0.112</v>
      </c>
    </row>
  </sheetData>
  <pageMargins left="0.7" right="0.7" top="0.75" bottom="0.75" header="0.3" footer="0.3"/>
  <pageSetup orientation="portrait" horizontalDpi="200" verticalDpi="200" copies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B9F48-CCC1-4C21-8CDC-93B44C34B376}">
  <dimension ref="A1:AS1"/>
  <sheetViews>
    <sheetView zoomScale="115" zoomScaleNormal="115" workbookViewId="0">
      <selection activeCell="D11" sqref="D11"/>
    </sheetView>
  </sheetViews>
  <sheetFormatPr defaultColWidth="8.85546875" defaultRowHeight="15" x14ac:dyDescent="0.25"/>
  <cols>
    <col min="1" max="1" width="11.5703125" bestFit="1" customWidth="1"/>
    <col min="2" max="2" width="23.42578125" bestFit="1" customWidth="1"/>
    <col min="3" max="3" width="10.5703125" bestFit="1" customWidth="1"/>
    <col min="4" max="4" width="13" bestFit="1" customWidth="1"/>
    <col min="5" max="5" width="20.42578125" bestFit="1" customWidth="1"/>
    <col min="6" max="6" width="10.28515625" bestFit="1" customWidth="1"/>
    <col min="7" max="7" width="13" bestFit="1" customWidth="1"/>
    <col min="8" max="8" width="10.5703125" bestFit="1" customWidth="1"/>
    <col min="9" max="9" width="7.42578125" bestFit="1" customWidth="1"/>
    <col min="10" max="11" width="10.5703125" bestFit="1" customWidth="1"/>
    <col min="12" max="12" width="10.28515625" bestFit="1" customWidth="1"/>
    <col min="13" max="14" width="11.42578125" bestFit="1" customWidth="1"/>
    <col min="15" max="15" width="10.140625" bestFit="1" customWidth="1"/>
    <col min="16" max="45" width="11.42578125" bestFit="1" customWidth="1"/>
  </cols>
  <sheetData>
    <row r="1" spans="1:45" ht="45.75" thickBot="1" x14ac:dyDescent="0.3">
      <c r="A1" s="45" t="s">
        <v>14</v>
      </c>
      <c r="B1" s="46" t="s">
        <v>11</v>
      </c>
      <c r="C1" s="46" t="s">
        <v>160</v>
      </c>
      <c r="D1" s="46" t="s">
        <v>161</v>
      </c>
      <c r="E1" s="46" t="s">
        <v>19</v>
      </c>
      <c r="F1" s="48" t="s">
        <v>40</v>
      </c>
      <c r="G1" s="49" t="s">
        <v>3</v>
      </c>
      <c r="H1" s="50" t="s">
        <v>47</v>
      </c>
      <c r="I1" s="45" t="s">
        <v>30</v>
      </c>
      <c r="J1" s="46" t="s">
        <v>31</v>
      </c>
      <c r="K1" s="46" t="s">
        <v>32</v>
      </c>
      <c r="L1" s="47" t="s">
        <v>33</v>
      </c>
      <c r="M1" s="46">
        <v>2018</v>
      </c>
      <c r="N1" s="46">
        <v>2019</v>
      </c>
      <c r="O1" s="46">
        <v>2020</v>
      </c>
      <c r="P1" s="46">
        <v>2021</v>
      </c>
      <c r="Q1" s="46">
        <v>2022</v>
      </c>
      <c r="R1" s="46">
        <v>2023</v>
      </c>
      <c r="S1" s="46">
        <v>2024</v>
      </c>
      <c r="T1" s="46">
        <v>2025</v>
      </c>
      <c r="U1" s="46">
        <v>2026</v>
      </c>
      <c r="V1" s="46">
        <v>2027</v>
      </c>
      <c r="W1" s="46">
        <v>2028</v>
      </c>
      <c r="X1" s="46">
        <v>2029</v>
      </c>
      <c r="Y1" s="46">
        <v>2030</v>
      </c>
      <c r="Z1" s="46">
        <v>2031</v>
      </c>
      <c r="AA1" s="46">
        <v>2032</v>
      </c>
      <c r="AB1" s="46">
        <v>2033</v>
      </c>
      <c r="AC1" s="46">
        <v>2034</v>
      </c>
      <c r="AD1" s="46">
        <v>2035</v>
      </c>
      <c r="AE1" s="46">
        <v>2036</v>
      </c>
      <c r="AF1" s="46">
        <v>2037</v>
      </c>
      <c r="AG1" s="46">
        <v>2038</v>
      </c>
      <c r="AH1" s="46">
        <v>2039</v>
      </c>
      <c r="AI1" s="46">
        <v>2040</v>
      </c>
      <c r="AJ1" s="46">
        <v>2041</v>
      </c>
      <c r="AK1" s="46">
        <v>2042</v>
      </c>
      <c r="AL1" s="46">
        <v>2043</v>
      </c>
      <c r="AM1" s="46">
        <v>2044</v>
      </c>
      <c r="AN1" s="46">
        <v>2045</v>
      </c>
      <c r="AO1" s="46">
        <v>2046</v>
      </c>
      <c r="AP1" s="46">
        <v>2047</v>
      </c>
      <c r="AQ1" s="46">
        <v>2048</v>
      </c>
      <c r="AR1" s="46">
        <v>2049</v>
      </c>
      <c r="AS1" s="47">
        <v>2050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CAC0B-2969-43A6-B0E7-28226E62A913}">
  <dimension ref="A1:BM7"/>
  <sheetViews>
    <sheetView zoomScale="70" zoomScaleNormal="70" workbookViewId="0">
      <selection activeCell="A14" activeCellId="6" sqref="A2:XFD3 A5:XFD5 A7:XFD7 A9:XFD9 A11:XFD11 A13:XFD13 A14:XFD110"/>
    </sheetView>
  </sheetViews>
  <sheetFormatPr defaultColWidth="8.85546875" defaultRowHeight="15" x14ac:dyDescent="0.25"/>
  <cols>
    <col min="1" max="1" width="8" bestFit="1" customWidth="1"/>
    <col min="2" max="2" width="79.7109375" bestFit="1" customWidth="1"/>
    <col min="3" max="3" width="16.5703125" customWidth="1"/>
    <col min="4" max="4" width="9.7109375" bestFit="1" customWidth="1"/>
    <col min="5" max="5" width="18.28515625" bestFit="1" customWidth="1"/>
    <col min="6" max="6" width="11.140625" customWidth="1"/>
    <col min="7" max="7" width="10" bestFit="1" customWidth="1"/>
    <col min="8" max="8" width="8" bestFit="1" customWidth="1"/>
    <col min="9" max="9" width="5" bestFit="1" customWidth="1"/>
    <col min="10" max="11" width="7.42578125" bestFit="1" customWidth="1"/>
    <col min="12" max="12" width="6.7109375" customWidth="1"/>
    <col min="15" max="15" width="7.85546875" bestFit="1" customWidth="1"/>
    <col min="51" max="51" width="7.85546875" bestFit="1" customWidth="1"/>
  </cols>
  <sheetData>
    <row r="1" spans="1:65" ht="45.75" thickBot="1" x14ac:dyDescent="0.3">
      <c r="A1" s="5" t="s">
        <v>14</v>
      </c>
      <c r="B1" s="20" t="s">
        <v>11</v>
      </c>
      <c r="C1" s="6" t="s">
        <v>160</v>
      </c>
      <c r="D1" s="6" t="s">
        <v>161</v>
      </c>
      <c r="E1" s="6" t="s">
        <v>19</v>
      </c>
      <c r="F1" s="16" t="s">
        <v>40</v>
      </c>
      <c r="G1" s="15" t="s">
        <v>3</v>
      </c>
      <c r="H1" s="15" t="s">
        <v>47</v>
      </c>
      <c r="I1" s="5" t="s">
        <v>30</v>
      </c>
      <c r="J1" s="6" t="s">
        <v>31</v>
      </c>
      <c r="K1" s="6" t="s">
        <v>32</v>
      </c>
      <c r="L1" s="7" t="s">
        <v>33</v>
      </c>
      <c r="M1" s="20">
        <v>2018</v>
      </c>
      <c r="N1" s="6">
        <v>2019</v>
      </c>
      <c r="O1" s="17">
        <v>2020</v>
      </c>
      <c r="P1" s="17">
        <v>2021</v>
      </c>
      <c r="Q1" s="17">
        <v>2022</v>
      </c>
      <c r="R1" s="17">
        <v>2023</v>
      </c>
      <c r="S1" s="17">
        <v>2024</v>
      </c>
      <c r="T1" s="17">
        <v>2025</v>
      </c>
      <c r="U1" s="17">
        <v>2026</v>
      </c>
      <c r="V1" s="17">
        <v>2027</v>
      </c>
      <c r="W1" s="17">
        <v>2028</v>
      </c>
      <c r="X1" s="17">
        <v>2029</v>
      </c>
      <c r="Y1" s="17">
        <v>2030</v>
      </c>
      <c r="Z1" s="17">
        <v>2031</v>
      </c>
      <c r="AA1" s="17">
        <v>2032</v>
      </c>
      <c r="AB1" s="17">
        <v>2033</v>
      </c>
      <c r="AC1" s="17">
        <v>2034</v>
      </c>
      <c r="AD1" s="17">
        <v>2035</v>
      </c>
      <c r="AE1" s="17">
        <v>2036</v>
      </c>
      <c r="AF1" s="17">
        <v>2037</v>
      </c>
      <c r="AG1" s="17">
        <v>2038</v>
      </c>
      <c r="AH1" s="17">
        <v>2039</v>
      </c>
      <c r="AI1" s="17">
        <v>2040</v>
      </c>
      <c r="AJ1" s="17">
        <v>2041</v>
      </c>
      <c r="AK1" s="17">
        <v>2042</v>
      </c>
      <c r="AL1" s="17">
        <v>2043</v>
      </c>
      <c r="AM1" s="17">
        <v>2044</v>
      </c>
      <c r="AN1" s="17">
        <v>2045</v>
      </c>
      <c r="AO1" s="17">
        <v>2046</v>
      </c>
      <c r="AP1" s="17">
        <v>2047</v>
      </c>
      <c r="AQ1" s="17">
        <v>2048</v>
      </c>
      <c r="AR1" s="17">
        <v>2049</v>
      </c>
      <c r="AS1" s="18">
        <v>2050</v>
      </c>
      <c r="AT1" s="17">
        <v>2051</v>
      </c>
      <c r="AU1" s="17">
        <v>2052</v>
      </c>
      <c r="AV1" s="17">
        <v>2053</v>
      </c>
      <c r="AW1" s="17">
        <v>2054</v>
      </c>
      <c r="AX1" s="17">
        <v>2055</v>
      </c>
      <c r="AY1" s="17">
        <v>2056</v>
      </c>
      <c r="AZ1" s="17">
        <v>2057</v>
      </c>
      <c r="BA1" s="17">
        <v>2058</v>
      </c>
      <c r="BB1" s="17">
        <v>2059</v>
      </c>
      <c r="BC1" s="17">
        <v>2060</v>
      </c>
      <c r="BD1" s="17">
        <v>2061</v>
      </c>
      <c r="BE1" s="17">
        <v>2062</v>
      </c>
      <c r="BF1" s="17">
        <v>2063</v>
      </c>
      <c r="BG1" s="17">
        <v>2064</v>
      </c>
      <c r="BH1" s="17">
        <v>2065</v>
      </c>
      <c r="BI1" s="17">
        <v>2066</v>
      </c>
      <c r="BJ1" s="17">
        <v>2067</v>
      </c>
      <c r="BK1" s="17">
        <v>2068</v>
      </c>
      <c r="BL1" s="17">
        <v>2069</v>
      </c>
      <c r="BM1" s="17">
        <v>2070</v>
      </c>
    </row>
    <row r="2" spans="1:65" x14ac:dyDescent="0.25">
      <c r="A2" s="22" t="s">
        <v>6</v>
      </c>
      <c r="B2" s="30" t="s">
        <v>166</v>
      </c>
      <c r="C2" s="42" t="s">
        <v>167</v>
      </c>
      <c r="D2" s="34" t="s">
        <v>168</v>
      </c>
      <c r="E2" s="23" t="s">
        <v>169</v>
      </c>
      <c r="F2" s="43" t="s">
        <v>7</v>
      </c>
      <c r="G2" s="24" t="s">
        <v>135</v>
      </c>
      <c r="H2" s="29" t="s">
        <v>138</v>
      </c>
      <c r="I2" s="21"/>
      <c r="J2" s="35"/>
      <c r="K2" s="35"/>
      <c r="L2" s="36"/>
      <c r="M2" s="52">
        <v>-56</v>
      </c>
      <c r="N2" s="53">
        <v>-56</v>
      </c>
      <c r="O2" s="53">
        <v>-56</v>
      </c>
      <c r="P2" s="53">
        <v>-56</v>
      </c>
      <c r="Q2" s="53">
        <v>-56</v>
      </c>
      <c r="R2" s="53">
        <v>-56</v>
      </c>
      <c r="S2" s="53">
        <v>-56</v>
      </c>
      <c r="T2" s="53">
        <v>-56</v>
      </c>
      <c r="U2" s="53">
        <v>-56</v>
      </c>
      <c r="V2" s="53">
        <v>-56</v>
      </c>
      <c r="W2" s="53">
        <v>-56</v>
      </c>
      <c r="X2" s="53">
        <v>-56</v>
      </c>
      <c r="Y2" s="53">
        <v>-56</v>
      </c>
      <c r="Z2" s="53">
        <v>-56</v>
      </c>
      <c r="AA2" s="53">
        <v>-56</v>
      </c>
      <c r="AB2" s="53">
        <v>-56</v>
      </c>
      <c r="AC2" s="53">
        <v>-56</v>
      </c>
      <c r="AD2" s="53">
        <v>-56</v>
      </c>
      <c r="AE2" s="53">
        <v>-56</v>
      </c>
      <c r="AF2" s="53">
        <v>-56</v>
      </c>
      <c r="AG2" s="53">
        <v>-56</v>
      </c>
      <c r="AH2" s="53">
        <v>-56</v>
      </c>
      <c r="AI2" s="53">
        <v>-56</v>
      </c>
      <c r="AJ2" s="53">
        <v>-56</v>
      </c>
      <c r="AK2" s="53">
        <v>-56</v>
      </c>
      <c r="AL2" s="53">
        <v>-56</v>
      </c>
      <c r="AM2" s="53">
        <v>-56</v>
      </c>
      <c r="AN2" s="53">
        <v>-56</v>
      </c>
      <c r="AO2" s="53">
        <v>-56</v>
      </c>
      <c r="AP2" s="53">
        <v>-56</v>
      </c>
      <c r="AQ2" s="53">
        <v>-56</v>
      </c>
      <c r="AR2" s="53">
        <v>-56</v>
      </c>
      <c r="AS2" s="54">
        <v>-56</v>
      </c>
      <c r="AT2" s="38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10"/>
    </row>
    <row r="3" spans="1:65" x14ac:dyDescent="0.25">
      <c r="A3" s="4" t="s">
        <v>6</v>
      </c>
      <c r="B3" s="3" t="s">
        <v>166</v>
      </c>
      <c r="C3" s="33" t="s">
        <v>170</v>
      </c>
      <c r="D3" s="33" t="s">
        <v>168</v>
      </c>
      <c r="E3" s="3" t="s">
        <v>169</v>
      </c>
      <c r="F3" s="32" t="s">
        <v>7</v>
      </c>
      <c r="G3" s="3" t="s">
        <v>135</v>
      </c>
      <c r="H3" s="8" t="s">
        <v>138</v>
      </c>
      <c r="I3" s="4"/>
      <c r="J3" s="3"/>
      <c r="K3" s="3"/>
      <c r="L3" s="9"/>
      <c r="M3" s="55">
        <v>-58.44</v>
      </c>
      <c r="N3" s="56">
        <v>-58.44</v>
      </c>
      <c r="O3" s="56">
        <v>-58.44</v>
      </c>
      <c r="P3" s="56">
        <v>-58.44</v>
      </c>
      <c r="Q3" s="56">
        <v>-58.44</v>
      </c>
      <c r="R3" s="56">
        <v>-58.44</v>
      </c>
      <c r="S3" s="56">
        <v>-58.44</v>
      </c>
      <c r="T3" s="56">
        <v>-58.44</v>
      </c>
      <c r="U3" s="56">
        <v>-58.44</v>
      </c>
      <c r="V3" s="56">
        <v>-58.44</v>
      </c>
      <c r="W3" s="56">
        <v>-58.44</v>
      </c>
      <c r="X3" s="56">
        <v>-58.44</v>
      </c>
      <c r="Y3" s="56">
        <v>-58.44</v>
      </c>
      <c r="Z3" s="56">
        <v>-58.44</v>
      </c>
      <c r="AA3" s="56">
        <v>-58.44</v>
      </c>
      <c r="AB3" s="56">
        <v>-58.44</v>
      </c>
      <c r="AC3" s="56">
        <v>-58.44</v>
      </c>
      <c r="AD3" s="56">
        <v>-58.44</v>
      </c>
      <c r="AE3" s="56">
        <v>-58.44</v>
      </c>
      <c r="AF3" s="56">
        <v>-58.44</v>
      </c>
      <c r="AG3" s="56">
        <v>-58.44</v>
      </c>
      <c r="AH3" s="56">
        <v>-58.44</v>
      </c>
      <c r="AI3" s="56">
        <v>-58.44</v>
      </c>
      <c r="AJ3" s="56">
        <v>-58.44</v>
      </c>
      <c r="AK3" s="56">
        <v>-58.44</v>
      </c>
      <c r="AL3" s="56">
        <v>-58.44</v>
      </c>
      <c r="AM3" s="56">
        <v>-58.44</v>
      </c>
      <c r="AN3" s="56">
        <v>-58.44</v>
      </c>
      <c r="AO3" s="56">
        <v>-58.44</v>
      </c>
      <c r="AP3" s="56">
        <v>-58.44</v>
      </c>
      <c r="AQ3" s="56">
        <v>-58.44</v>
      </c>
      <c r="AR3" s="56">
        <v>-58.44</v>
      </c>
      <c r="AS3" s="57">
        <v>-58.44</v>
      </c>
      <c r="AT3" s="25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8"/>
    </row>
    <row r="4" spans="1:65" x14ac:dyDescent="0.25">
      <c r="A4" s="4" t="s">
        <v>6</v>
      </c>
      <c r="B4" s="3" t="s">
        <v>166</v>
      </c>
      <c r="C4" s="33" t="s">
        <v>171</v>
      </c>
      <c r="D4" s="33" t="s">
        <v>168</v>
      </c>
      <c r="E4" s="3" t="s">
        <v>169</v>
      </c>
      <c r="F4" s="32" t="s">
        <v>7</v>
      </c>
      <c r="G4" s="3" t="s">
        <v>135</v>
      </c>
      <c r="H4" s="8" t="s">
        <v>138</v>
      </c>
      <c r="I4" s="4"/>
      <c r="J4" s="3"/>
      <c r="K4" s="3"/>
      <c r="L4" s="9"/>
      <c r="M4" s="39">
        <v>86.841448997150707</v>
      </c>
      <c r="N4" s="40">
        <v>83.915463464839704</v>
      </c>
      <c r="O4" s="40">
        <v>91.035650753634727</v>
      </c>
      <c r="P4" s="40">
        <v>83.498412587412588</v>
      </c>
      <c r="Q4" s="40">
        <v>79.014002891786845</v>
      </c>
      <c r="R4" s="40">
        <v>76.894150790081852</v>
      </c>
      <c r="S4" s="40">
        <v>75.319363479532115</v>
      </c>
      <c r="T4" s="40">
        <v>73.822602386267306</v>
      </c>
      <c r="U4" s="40">
        <v>72.478105159060149</v>
      </c>
      <c r="V4" s="40">
        <v>71.177740694549414</v>
      </c>
      <c r="W4" s="40">
        <v>69.863892366018788</v>
      </c>
      <c r="X4" s="40">
        <v>68.657459873524076</v>
      </c>
      <c r="Y4" s="40">
        <v>67.509245909209483</v>
      </c>
      <c r="Z4" s="40">
        <v>66.510651180454303</v>
      </c>
      <c r="AA4" s="40">
        <v>65.532247006341592</v>
      </c>
      <c r="AB4" s="40">
        <v>64.573516781159043</v>
      </c>
      <c r="AC4" s="40">
        <v>63.633959860012659</v>
      </c>
      <c r="AD4" s="40">
        <v>62.713090981889991</v>
      </c>
      <c r="AE4" s="40">
        <v>61.962444274820214</v>
      </c>
      <c r="AF4" s="40">
        <v>61.224091834733414</v>
      </c>
      <c r="AG4" s="40">
        <v>60.49777858313157</v>
      </c>
      <c r="AH4" s="40">
        <v>59.783255838537478</v>
      </c>
      <c r="AI4" s="40">
        <v>59.080281128605691</v>
      </c>
      <c r="AJ4" s="40">
        <v>58.5245671838858</v>
      </c>
      <c r="AK4" s="40">
        <v>57.976012446458469</v>
      </c>
      <c r="AL4" s="40">
        <v>57.434499967822561</v>
      </c>
      <c r="AM4" s="40">
        <v>56.899915110827315</v>
      </c>
      <c r="AN4" s="40">
        <v>56.372145496121725</v>
      </c>
      <c r="AO4" s="40">
        <v>55.97083290921676</v>
      </c>
      <c r="AP4" s="40">
        <v>55.5734366289823</v>
      </c>
      <c r="AQ4" s="40">
        <v>55.179908153915541</v>
      </c>
      <c r="AR4" s="40">
        <v>54.79019970986004</v>
      </c>
      <c r="AS4" s="41">
        <v>54.404264237208622</v>
      </c>
      <c r="AT4" s="25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8"/>
    </row>
    <row r="5" spans="1:65" x14ac:dyDescent="0.25">
      <c r="A5" s="4" t="s">
        <v>6</v>
      </c>
      <c r="B5" s="3" t="s">
        <v>166</v>
      </c>
      <c r="C5" s="33" t="s">
        <v>172</v>
      </c>
      <c r="D5" s="33" t="s">
        <v>168</v>
      </c>
      <c r="E5" s="3" t="s">
        <v>169</v>
      </c>
      <c r="F5" s="32" t="s">
        <v>7</v>
      </c>
      <c r="G5" s="3" t="s">
        <v>135</v>
      </c>
      <c r="H5" s="8" t="s">
        <v>138</v>
      </c>
      <c r="I5" s="4"/>
      <c r="J5" s="3"/>
      <c r="K5" s="3"/>
      <c r="L5" s="9"/>
      <c r="M5" s="39">
        <v>35.758243704709102</v>
      </c>
      <c r="N5" s="40">
        <v>34.553426132581052</v>
      </c>
      <c r="O5" s="40">
        <v>37.485267957379008</v>
      </c>
      <c r="P5" s="40">
        <v>34.381699300699303</v>
      </c>
      <c r="Q5" s="40">
        <v>32.535177661323992</v>
      </c>
      <c r="R5" s="40">
        <v>31.662297384151351</v>
      </c>
      <c r="S5" s="40">
        <v>31.013855550395572</v>
      </c>
      <c r="T5" s="40">
        <v>30.397542159051241</v>
      </c>
      <c r="U5" s="40">
        <v>29.843925653730651</v>
      </c>
      <c r="V5" s="40">
        <v>29.308481462461526</v>
      </c>
      <c r="W5" s="40">
        <v>28.767485091890091</v>
      </c>
      <c r="X5" s="40">
        <v>28.270718771451094</v>
      </c>
      <c r="Y5" s="40">
        <v>27.797924786145082</v>
      </c>
      <c r="Z5" s="40">
        <v>27.386738721363535</v>
      </c>
      <c r="AA5" s="40">
        <v>26.983866414375949</v>
      </c>
      <c r="AB5" s="40">
        <v>26.589095145183137</v>
      </c>
      <c r="AC5" s="40">
        <v>26.202218765887572</v>
      </c>
      <c r="AD5" s="40">
        <v>25.823037463131172</v>
      </c>
      <c r="AE5" s="40">
        <v>25.513947642573033</v>
      </c>
      <c r="AF5" s="40">
        <v>25.209920167243173</v>
      </c>
      <c r="AG5" s="40">
        <v>24.910850004818876</v>
      </c>
      <c r="AH5" s="40">
        <v>24.616634757044842</v>
      </c>
      <c r="AI5" s="40">
        <v>24.327174582367046</v>
      </c>
      <c r="AJ5" s="40">
        <v>24.098351193364739</v>
      </c>
      <c r="AK5" s="40">
        <v>23.872475713247603</v>
      </c>
      <c r="AL5" s="40">
        <v>23.649499986750467</v>
      </c>
      <c r="AM5" s="40">
        <v>23.42937681034066</v>
      </c>
      <c r="AN5" s="40">
        <v>23.21205991016777</v>
      </c>
      <c r="AO5" s="40">
        <v>23.046813550853958</v>
      </c>
      <c r="AP5" s="40">
        <v>22.88317978840448</v>
      </c>
      <c r="AQ5" s="40">
        <v>22.721138651612282</v>
      </c>
      <c r="AR5" s="40">
        <v>22.560670468765899</v>
      </c>
      <c r="AS5" s="41">
        <v>22.401755862380018</v>
      </c>
      <c r="AT5" s="25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8"/>
    </row>
    <row r="6" spans="1:65" ht="15.75" thickBot="1" x14ac:dyDescent="0.3">
      <c r="A6" s="4" t="s">
        <v>6</v>
      </c>
      <c r="B6" s="3" t="s">
        <v>166</v>
      </c>
      <c r="C6" s="33" t="s">
        <v>173</v>
      </c>
      <c r="D6" s="33" t="s">
        <v>168</v>
      </c>
      <c r="E6" s="3" t="s">
        <v>169</v>
      </c>
      <c r="F6" s="32" t="s">
        <v>7</v>
      </c>
      <c r="G6" s="3" t="s">
        <v>135</v>
      </c>
      <c r="H6" s="8" t="s">
        <v>138</v>
      </c>
      <c r="I6" s="4"/>
      <c r="J6" s="3"/>
      <c r="K6" s="3"/>
      <c r="L6" s="9"/>
      <c r="M6" s="39">
        <v>130.26217349572599</v>
      </c>
      <c r="N6" s="40">
        <v>125.87319519725955</v>
      </c>
      <c r="O6" s="40">
        <v>136.55347613045211</v>
      </c>
      <c r="P6" s="40">
        <v>125.24761888111887</v>
      </c>
      <c r="Q6" s="40">
        <v>118.52100433768027</v>
      </c>
      <c r="R6" s="40">
        <v>115.34122618512279</v>
      </c>
      <c r="S6" s="40">
        <v>112.97904521929816</v>
      </c>
      <c r="T6" s="40">
        <v>110.73390357940094</v>
      </c>
      <c r="U6" s="40">
        <v>108.71715773859023</v>
      </c>
      <c r="V6" s="40">
        <v>106.76661104182412</v>
      </c>
      <c r="W6" s="40">
        <v>104.7958385490282</v>
      </c>
      <c r="X6" s="40">
        <v>102.98618981028611</v>
      </c>
      <c r="Y6" s="40">
        <v>101.26386886381422</v>
      </c>
      <c r="Z6" s="40">
        <v>99.765976770681448</v>
      </c>
      <c r="AA6" s="40">
        <v>98.298370509512395</v>
      </c>
      <c r="AB6" s="40">
        <v>96.860275171738564</v>
      </c>
      <c r="AC6" s="40">
        <v>95.450939790018992</v>
      </c>
      <c r="AD6" s="40">
        <v>94.069636472835001</v>
      </c>
      <c r="AE6" s="40">
        <v>92.943666412230328</v>
      </c>
      <c r="AF6" s="40">
        <v>91.836137752100143</v>
      </c>
      <c r="AG6" s="40">
        <v>90.746667874697351</v>
      </c>
      <c r="AH6" s="40">
        <v>89.674883757806214</v>
      </c>
      <c r="AI6" s="40">
        <v>88.620421692908536</v>
      </c>
      <c r="AJ6" s="40">
        <v>87.786850775828697</v>
      </c>
      <c r="AK6" s="40">
        <v>86.96401866968769</v>
      </c>
      <c r="AL6" s="40">
        <v>86.151749951733848</v>
      </c>
      <c r="AM6" s="40">
        <v>85.349872666240969</v>
      </c>
      <c r="AN6" s="40">
        <v>84.558218244182584</v>
      </c>
      <c r="AO6" s="40">
        <v>83.956249363825137</v>
      </c>
      <c r="AP6" s="40">
        <v>83.360154943473461</v>
      </c>
      <c r="AQ6" s="40">
        <v>82.769862230873329</v>
      </c>
      <c r="AR6" s="40">
        <v>82.185299564790057</v>
      </c>
      <c r="AS6" s="41">
        <v>81.606396355812919</v>
      </c>
      <c r="AT6" s="25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8"/>
    </row>
    <row r="7" spans="1:65" x14ac:dyDescent="0.25">
      <c r="B7" s="23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F66BB-E93C-435F-A4D7-5C955C62089B}">
  <dimension ref="A1:BM3"/>
  <sheetViews>
    <sheetView workbookViewId="0">
      <selection activeCell="A2" sqref="A2:XFD29"/>
    </sheetView>
  </sheetViews>
  <sheetFormatPr defaultColWidth="8.85546875" defaultRowHeight="15" x14ac:dyDescent="0.25"/>
  <cols>
    <col min="1" max="1" width="8" bestFit="1" customWidth="1"/>
    <col min="2" max="2" width="79.7109375" bestFit="1" customWidth="1"/>
    <col min="3" max="3" width="16.5703125" customWidth="1"/>
    <col min="5" max="5" width="17.7109375" customWidth="1"/>
    <col min="6" max="6" width="11.140625" customWidth="1"/>
    <col min="7" max="7" width="9.5703125" customWidth="1"/>
    <col min="8" max="8" width="7.5703125" customWidth="1"/>
    <col min="9" max="9" width="4.85546875" customWidth="1"/>
    <col min="10" max="11" width="6.7109375" customWidth="1"/>
    <col min="12" max="12" width="8.5703125" bestFit="1" customWidth="1"/>
    <col min="15" max="15" width="7.85546875" bestFit="1" customWidth="1"/>
    <col min="27" max="27" width="10.42578125" bestFit="1" customWidth="1"/>
    <col min="51" max="51" width="7.85546875" bestFit="1" customWidth="1"/>
  </cols>
  <sheetData>
    <row r="1" spans="1:65" ht="45.75" thickBot="1" x14ac:dyDescent="0.3">
      <c r="A1" s="5" t="s">
        <v>14</v>
      </c>
      <c r="B1" s="20" t="s">
        <v>11</v>
      </c>
      <c r="C1" s="6" t="s">
        <v>160</v>
      </c>
      <c r="D1" s="6" t="s">
        <v>161</v>
      </c>
      <c r="E1" s="6" t="s">
        <v>19</v>
      </c>
      <c r="F1" s="16" t="s">
        <v>40</v>
      </c>
      <c r="G1" s="15" t="s">
        <v>3</v>
      </c>
      <c r="H1" s="15" t="s">
        <v>47</v>
      </c>
      <c r="I1" s="5" t="s">
        <v>30</v>
      </c>
      <c r="J1" s="6" t="s">
        <v>31</v>
      </c>
      <c r="K1" s="6" t="s">
        <v>32</v>
      </c>
      <c r="L1" s="7" t="s">
        <v>33</v>
      </c>
      <c r="M1" s="20">
        <v>2018</v>
      </c>
      <c r="N1" s="6">
        <v>2019</v>
      </c>
      <c r="O1" s="17">
        <v>2020</v>
      </c>
      <c r="P1" s="17">
        <v>2021</v>
      </c>
      <c r="Q1" s="17">
        <v>2022</v>
      </c>
      <c r="R1" s="17">
        <v>2023</v>
      </c>
      <c r="S1" s="17">
        <v>2024</v>
      </c>
      <c r="T1" s="17">
        <v>2025</v>
      </c>
      <c r="U1" s="17">
        <v>2026</v>
      </c>
      <c r="V1" s="17">
        <v>2027</v>
      </c>
      <c r="W1" s="17">
        <v>2028</v>
      </c>
      <c r="X1" s="17">
        <v>2029</v>
      </c>
      <c r="Y1" s="17">
        <v>2030</v>
      </c>
      <c r="Z1" s="17">
        <v>2031</v>
      </c>
      <c r="AA1" s="17">
        <v>2032</v>
      </c>
      <c r="AB1" s="17">
        <v>2033</v>
      </c>
      <c r="AC1" s="17">
        <v>2034</v>
      </c>
      <c r="AD1" s="17">
        <v>2035</v>
      </c>
      <c r="AE1" s="17">
        <v>2036</v>
      </c>
      <c r="AF1" s="17">
        <v>2037</v>
      </c>
      <c r="AG1" s="17">
        <v>2038</v>
      </c>
      <c r="AH1" s="17">
        <v>2039</v>
      </c>
      <c r="AI1" s="17">
        <v>2040</v>
      </c>
      <c r="AJ1" s="17">
        <v>2041</v>
      </c>
      <c r="AK1" s="17">
        <v>2042</v>
      </c>
      <c r="AL1" s="17">
        <v>2043</v>
      </c>
      <c r="AM1" s="17">
        <v>2044</v>
      </c>
      <c r="AN1" s="17">
        <v>2045</v>
      </c>
      <c r="AO1" s="17">
        <v>2046</v>
      </c>
      <c r="AP1" s="17">
        <v>2047</v>
      </c>
      <c r="AQ1" s="17">
        <v>2048</v>
      </c>
      <c r="AR1" s="17">
        <v>2049</v>
      </c>
      <c r="AS1" s="18">
        <v>2050</v>
      </c>
      <c r="AT1" s="17">
        <v>2051</v>
      </c>
      <c r="AU1" s="17">
        <v>2052</v>
      </c>
      <c r="AV1" s="17">
        <v>2053</v>
      </c>
      <c r="AW1" s="17">
        <v>2054</v>
      </c>
      <c r="AX1" s="17">
        <v>2055</v>
      </c>
      <c r="AY1" s="17">
        <v>2056</v>
      </c>
      <c r="AZ1" s="17">
        <v>2057</v>
      </c>
      <c r="BA1" s="17">
        <v>2058</v>
      </c>
      <c r="BB1" s="17">
        <v>2059</v>
      </c>
      <c r="BC1" s="17">
        <v>2060</v>
      </c>
      <c r="BD1" s="17">
        <v>2061</v>
      </c>
      <c r="BE1" s="17">
        <v>2062</v>
      </c>
      <c r="BF1" s="17">
        <v>2063</v>
      </c>
      <c r="BG1" s="17">
        <v>2064</v>
      </c>
      <c r="BH1" s="17">
        <v>2065</v>
      </c>
      <c r="BI1" s="17">
        <v>2066</v>
      </c>
      <c r="BJ1" s="17">
        <v>2067</v>
      </c>
      <c r="BK1" s="17">
        <v>2068</v>
      </c>
      <c r="BL1" s="17">
        <v>2069</v>
      </c>
      <c r="BM1" s="17">
        <v>2070</v>
      </c>
    </row>
    <row r="3" spans="1:65" x14ac:dyDescent="0.25"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78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62EDB-AA1C-43EC-BE52-26B044BB4B5B}">
  <dimension ref="A1:AI1"/>
  <sheetViews>
    <sheetView tabSelected="1" workbookViewId="0">
      <selection activeCell="A2" sqref="A2:XFD3"/>
    </sheetView>
  </sheetViews>
  <sheetFormatPr defaultColWidth="8.85546875" defaultRowHeight="15" x14ac:dyDescent="0.25"/>
  <cols>
    <col min="2" max="2" width="11.42578125" customWidth="1"/>
    <col min="3" max="3" width="6.85546875" customWidth="1"/>
  </cols>
  <sheetData>
    <row r="1" spans="1:35" ht="15.75" thickBot="1" x14ac:dyDescent="0.3">
      <c r="A1" s="44" t="s">
        <v>14</v>
      </c>
      <c r="B1" s="44" t="s">
        <v>174</v>
      </c>
      <c r="C1" s="5">
        <v>2018</v>
      </c>
      <c r="D1" s="6">
        <v>2019</v>
      </c>
      <c r="E1" s="17">
        <v>2020</v>
      </c>
      <c r="F1" s="17">
        <v>2021</v>
      </c>
      <c r="G1" s="17">
        <v>2022</v>
      </c>
      <c r="H1" s="17">
        <v>2023</v>
      </c>
      <c r="I1" s="17">
        <v>2024</v>
      </c>
      <c r="J1" s="17">
        <v>2025</v>
      </c>
      <c r="K1" s="17">
        <v>2026</v>
      </c>
      <c r="L1" s="17">
        <v>2027</v>
      </c>
      <c r="M1" s="17">
        <v>2028</v>
      </c>
      <c r="N1" s="17">
        <v>2029</v>
      </c>
      <c r="O1" s="17">
        <v>2030</v>
      </c>
      <c r="P1" s="17">
        <v>2031</v>
      </c>
      <c r="Q1" s="17">
        <v>2032</v>
      </c>
      <c r="R1" s="17">
        <v>2033</v>
      </c>
      <c r="S1" s="17">
        <v>2034</v>
      </c>
      <c r="T1" s="17">
        <v>2035</v>
      </c>
      <c r="U1" s="17">
        <v>2036</v>
      </c>
      <c r="V1" s="17">
        <v>2037</v>
      </c>
      <c r="W1" s="17">
        <v>2038</v>
      </c>
      <c r="X1" s="17">
        <v>2039</v>
      </c>
      <c r="Y1" s="17">
        <v>2040</v>
      </c>
      <c r="Z1" s="17">
        <v>2041</v>
      </c>
      <c r="AA1" s="17">
        <v>2042</v>
      </c>
      <c r="AB1" s="17">
        <v>2043</v>
      </c>
      <c r="AC1" s="17">
        <v>2044</v>
      </c>
      <c r="AD1" s="17">
        <v>2045</v>
      </c>
      <c r="AE1" s="17">
        <v>2046</v>
      </c>
      <c r="AF1" s="17">
        <v>2047</v>
      </c>
      <c r="AG1" s="17">
        <v>2048</v>
      </c>
      <c r="AH1" s="17">
        <v>2049</v>
      </c>
      <c r="AI1" s="18">
        <v>2050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60a8fee-1065-46af-a09f-4bc299cd7729" xsi:nil="true"/>
    <TaxCatchAll xmlns="dd2a1ab4-0a93-49a3-a811-47bf2ef55b9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404091916B8749A73FDE0336A1D2B1" ma:contentTypeVersion="21" ma:contentTypeDescription="Crear nuevo documento." ma:contentTypeScope="" ma:versionID="63377fba47992f957191141035456ea0">
  <xsd:schema xmlns:xsd="http://www.w3.org/2001/XMLSchema" xmlns:xs="http://www.w3.org/2001/XMLSchema" xmlns:p="http://schemas.microsoft.com/office/2006/metadata/properties" xmlns:ns2="160a8fee-1065-46af-a09f-4bc299cd7729" xmlns:ns3="dd2a1ab4-0a93-49a3-a811-47bf2ef55b99" targetNamespace="http://schemas.microsoft.com/office/2006/metadata/properties" ma:root="true" ma:fieldsID="ee7f1d783d8a0e24d5d7df0240b57a2a" ns2:_="" ns3:_="">
    <xsd:import namespace="160a8fee-1065-46af-a09f-4bc299cd7729"/>
    <xsd:import namespace="dd2a1ab4-0a93-49a3-a811-47bf2ef55b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0a8fee-1065-46af-a09f-4bc299cd77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displayName="Etiquetas de imagen_0" ma:hidden="true" ma:internalName="lcf76f155ced4ddcb4097134ff3c332f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a1ab4-0a93-49a3-a811-47bf2ef55b9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58d400d-8031-419e-a2bc-623ab747dbff}" ma:internalName="TaxCatchAll" ma:showField="CatchAllData" ma:web="dd2a1ab4-0a93-49a3-a811-47bf2ef55b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2C5AAE-4458-4DEE-9074-092470EFA1F2}">
  <ds:schemaRefs>
    <ds:schemaRef ds:uri="http://schemas.microsoft.com/office/2006/metadata/properties"/>
    <ds:schemaRef ds:uri="http://schemas.microsoft.com/office/infopath/2007/PartnerControls"/>
    <ds:schemaRef ds:uri="9c2c21c4-f980-47d5-be5b-1bb924ee96a2"/>
    <ds:schemaRef ds:uri="160a8fee-1065-46af-a09f-4bc299cd7729"/>
    <ds:schemaRef ds:uri="dd2a1ab4-0a93-49a3-a811-47bf2ef55b99"/>
  </ds:schemaRefs>
</ds:datastoreItem>
</file>

<file path=customXml/itemProps2.xml><?xml version="1.0" encoding="utf-8"?>
<ds:datastoreItem xmlns:ds="http://schemas.openxmlformats.org/officeDocument/2006/customXml" ds:itemID="{CB764B64-A62B-4FC6-B1D0-45FF852375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0a8fee-1065-46af-a09f-4bc299cd7729"/>
    <ds:schemaRef ds:uri="dd2a1ab4-0a93-49a3-a811-47bf2ef55b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3C6DFED-A995-434B-BD0E-DE662695145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Scenarios</vt:lpstr>
      <vt:lpstr>Overall_Parameters</vt:lpstr>
      <vt:lpstr>Distance_Levers</vt:lpstr>
      <vt:lpstr>Mode_Shift</vt:lpstr>
      <vt:lpstr>Electrical</vt:lpstr>
      <vt:lpstr>Occupancy_Rate</vt:lpstr>
      <vt:lpstr>Tech_Adoption</vt:lpstr>
      <vt:lpstr>SmartGrid</vt:lpstr>
      <vt:lpstr>Efficiency</vt:lpstr>
      <vt:lpstr>TElasticity</vt:lpstr>
      <vt:lpstr>Waste</vt:lpstr>
      <vt:lpstr>IPPU</vt:lpstr>
      <vt:lpstr>Emission_Restriction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Fernando Victor</dc:creator>
  <cp:keywords/>
  <dc:description/>
  <cp:lastModifiedBy>Andrey Salazar-Vargas</cp:lastModifiedBy>
  <cp:revision/>
  <dcterms:created xsi:type="dcterms:W3CDTF">2015-06-05T18:17:20Z</dcterms:created>
  <dcterms:modified xsi:type="dcterms:W3CDTF">2025-12-02T21:21:39Z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0x0101000D404091916B8749A73FDE0336A1D2B1</vt:lpwstr>
  </property>
  <property fmtid="{D5CDD505-2E9C-101B-9397-08002B2CF9AE}" pid="3" name="MediaServiceImageTags">
    <vt:lpwstr/>
  </property>
</Properties>
</file>