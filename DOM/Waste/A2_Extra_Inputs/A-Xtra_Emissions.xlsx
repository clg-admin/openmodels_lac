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Waste_RD_v1_2025_working_on\A2_Extra_Inputs\"/>
    </mc:Choice>
  </mc:AlternateContent>
  <xr:revisionPtr revIDLastSave="0" documentId="13_ncr:1_{1C598EF1-EA31-49C9-A4DD-73B94754EF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HGs" sheetId="1" r:id="rId1"/>
    <sheet name="Externalities" sheetId="2" r:id="rId2"/>
  </sheets>
  <definedNames>
    <definedName name="_xlnm._FilterDatabase" localSheetId="0" hidden="1">GHGs!$A$1:$D$13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C12" i="1"/>
  <c r="C6" i="1"/>
</calcChain>
</file>

<file path=xl/sharedStrings.xml><?xml version="1.0" encoding="utf-8"?>
<sst xmlns="http://schemas.openxmlformats.org/spreadsheetml/2006/main" count="97" uniqueCount="41">
  <si>
    <t>Tech</t>
  </si>
  <si>
    <t>Emission</t>
  </si>
  <si>
    <t>EmissionActivityRatio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</si>
  <si>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</si>
  <si>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</si>
  <si>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</si>
  <si>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</si>
  <si>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</si>
  <si>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</si>
  <si>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</si>
  <si>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</si>
  <si>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</si>
  <si>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LANDFILL_ELEC</t>
  </si>
  <si>
    <t>External Cost</t>
  </si>
  <si>
    <t>EmissionsPenalty</t>
  </si>
  <si>
    <t>Final Unit</t>
  </si>
  <si>
    <t>CO2e_WASTE</t>
  </si>
  <si>
    <t>SEWER_NO_T</t>
  </si>
  <si>
    <t>SEPT_SYST</t>
  </si>
  <si>
    <t>LATR</t>
  </si>
  <si>
    <t>IND_SW</t>
  </si>
  <si>
    <t>PTAR_OLD</t>
  </si>
  <si>
    <t>PTAR_NEW</t>
  </si>
  <si>
    <t>CO2_CH4_BURN</t>
  </si>
  <si>
    <t>GAS_MSW</t>
  </si>
  <si>
    <t>HTC</t>
  </si>
  <si>
    <t>Se asume cero emisiones por el momento</t>
  </si>
  <si>
    <t>No se usa esta tecnología</t>
  </si>
  <si>
    <t>MtCO2e/Mt</t>
  </si>
  <si>
    <t>MtCO2e/MtCO2e</t>
  </si>
  <si>
    <t>RM</t>
  </si>
  <si>
    <t>FERT_ORG</t>
  </si>
  <si>
    <t>salud_residuos</t>
  </si>
  <si>
    <t>contam_agua</t>
  </si>
  <si>
    <t>turismo_residuos</t>
  </si>
  <si>
    <t>IWW_MEAT</t>
  </si>
  <si>
    <t>IWW_SUGAR</t>
  </si>
  <si>
    <t>IWW_ALCOHOL</t>
  </si>
  <si>
    <t>IWW_BEER</t>
  </si>
  <si>
    <t>IWW_MILK</t>
  </si>
  <si>
    <t>MtCO2e/MtDBO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</si>
</sst>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7" xfId="0" applyFont="1" applyBorder="1"/>
    <xf numFmtId="0" fontId="1" fillId="0" borderId="8" xfId="0" applyFont="1" applyBorder="1"/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left"/>
    </xf>
    <xf numFmtId="0" fontId="0" fillId="0" borderId="0" xfId="0" applyAlignment="1">
      <alignment horizontal="left"/>
    </xf>
    <xf numFmtId="164" fontId="0" fillId="3" borderId="5" xfId="0" applyNumberFormat="1" applyFill="1" applyBorder="1"/>
    <xf numFmtId="0" fontId="0" fillId="0" borderId="13" xfId="0" applyBorder="1"/>
    <xf numFmtId="0" fontId="0" fillId="2" borderId="14" xfId="0" applyFill="1" applyBorder="1" applyAlignment="1">
      <alignment horizontal="left" vertical="center"/>
    </xf>
    <xf numFmtId="0" fontId="0" fillId="4" borderId="4" xfId="0" applyFill="1" applyBorder="1"/>
    <xf numFmtId="0" fontId="0" fillId="0" borderId="16" xfId="0" applyBorder="1"/>
    <xf numFmtId="0" fontId="0" fillId="2" borderId="17" xfId="0" applyFill="1" applyBorder="1" applyAlignment="1">
      <alignment horizontal="left" vertical="center"/>
    </xf>
    <xf numFmtId="0" fontId="0" fillId="2" borderId="14" xfId="0" applyFill="1" applyBorder="1" applyAlignment="1">
      <alignment horizontal="left"/>
    </xf>
    <xf numFmtId="164" fontId="3" fillId="3" borderId="15" xfId="0" applyNumberFormat="1" applyFont="1" applyFill="1" applyBorder="1"/>
    <xf numFmtId="164" fontId="0" fillId="3" borderId="15" xfId="0" applyNumberFormat="1" applyFill="1" applyBorder="1"/>
    <xf numFmtId="0" fontId="0" fillId="2" borderId="4" xfId="0" applyFill="1" applyBorder="1" applyAlignment="1">
      <alignment horizontal="left"/>
    </xf>
    <xf numFmtId="0" fontId="0" fillId="4" borderId="14" xfId="0" applyFill="1" applyBorder="1"/>
    <xf numFmtId="164" fontId="0" fillId="5" borderId="15" xfId="0" applyNumberFormat="1" applyFill="1" applyBorder="1"/>
    <xf numFmtId="164" fontId="0" fillId="5" borderId="5" xfId="0" applyNumberFormat="1" applyFill="1" applyBorder="1"/>
    <xf numFmtId="0" fontId="0" fillId="2" borderId="11" xfId="0" applyFill="1" applyBorder="1" applyAlignment="1">
      <alignment horizontal="left" vertical="center"/>
    </xf>
    <xf numFmtId="0" fontId="0" fillId="6" borderId="18" xfId="0" applyFill="1" applyBorder="1"/>
    <xf numFmtId="0" fontId="0" fillId="0" borderId="10" xfId="0" applyBorder="1"/>
    <xf numFmtId="0" fontId="0" fillId="2" borderId="2" xfId="0" applyFill="1" applyBorder="1" applyAlignment="1">
      <alignment horizontal="left"/>
    </xf>
    <xf numFmtId="0" fontId="0" fillId="6" borderId="12" xfId="0" applyFill="1" applyBorder="1"/>
    <xf numFmtId="0" fontId="0" fillId="0" borderId="3" xfId="0" applyBorder="1"/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6" borderId="13" xfId="0" applyFill="1" applyBorder="1"/>
    <xf numFmtId="0" fontId="0" fillId="0" borderId="5" xfId="0" applyBorder="1"/>
    <xf numFmtId="164" fontId="0" fillId="7" borderId="15" xfId="0" applyNumberFormat="1" applyFill="1" applyBorder="1"/>
    <xf numFmtId="164" fontId="0" fillId="7" borderId="5" xfId="0" applyNumberFormat="1" applyFill="1" applyBorder="1"/>
  </cellXfs>
  <cellStyles count="2">
    <cellStyle name="Millares 2" xfId="1" xr:uid="{0668C736-3FE6-4950-AADF-1B71D1ECD003}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="130" zoomScaleNormal="130" workbookViewId="0">
      <pane ySplit="1" topLeftCell="A11" activePane="bottomLeft" state="frozen"/>
      <selection pane="bottomLeft" activeCell="C13" sqref="C13"/>
    </sheetView>
  </sheetViews>
  <sheetFormatPr defaultColWidth="9.109375" defaultRowHeight="14.4" x14ac:dyDescent="0.3"/>
  <cols>
    <col min="1" max="1" width="14.77734375" style="6" bestFit="1" customWidth="1"/>
    <col min="2" max="2" width="15.44140625" bestFit="1" customWidth="1"/>
    <col min="3" max="3" width="21.44140625" bestFit="1" customWidth="1"/>
    <col min="4" max="4" width="10.21875" customWidth="1"/>
  </cols>
  <sheetData>
    <row r="1" spans="1:4" x14ac:dyDescent="0.3">
      <c r="A1" s="5" t="s">
        <v>0</v>
      </c>
      <c r="B1" s="1" t="s">
        <v>1</v>
      </c>
      <c r="C1" s="2" t="s">
        <v>2</v>
      </c>
    </row>
    <row r="2" spans="1:4" x14ac:dyDescent="0.3">
      <c r="A2" s="12" t="s">
        <v>3</v>
      </c>
      <c r="B2" s="11" t="s">
        <v>16</v>
      </c>
      <c r="C2" s="15">
        <v>0</v>
      </c>
    </row>
    <row r="3" spans="1:4" x14ac:dyDescent="0.3">
      <c r="A3" s="9" t="s">
        <v>4</v>
      </c>
      <c r="B3" s="11" t="s">
        <v>16</v>
      </c>
      <c r="C3" s="15">
        <v>0</v>
      </c>
      <c r="D3" t="s">
        <v>27</v>
      </c>
    </row>
    <row r="4" spans="1:4" x14ac:dyDescent="0.3">
      <c r="A4" s="9" t="s">
        <v>5</v>
      </c>
      <c r="B4" s="11" t="s">
        <v>16</v>
      </c>
      <c r="C4" s="15">
        <v>0.1915</v>
      </c>
      <c r="D4" t="s">
        <v>28</v>
      </c>
    </row>
    <row r="5" spans="1:4" x14ac:dyDescent="0.3">
      <c r="A5" s="9" t="s">
        <v>6</v>
      </c>
      <c r="B5" s="11" t="s">
        <v>16</v>
      </c>
      <c r="C5" s="15">
        <v>0.81424608012106425</v>
      </c>
      <c r="D5" t="s">
        <v>28</v>
      </c>
    </row>
    <row r="6" spans="1:4" x14ac:dyDescent="0.3">
      <c r="A6" s="9" t="s">
        <v>7</v>
      </c>
      <c r="B6" s="11" t="s">
        <v>16</v>
      </c>
      <c r="C6" s="15">
        <f>C5</f>
        <v>0.81424608012106425</v>
      </c>
      <c r="D6" t="s">
        <v>28</v>
      </c>
    </row>
    <row r="7" spans="1:4" x14ac:dyDescent="0.3">
      <c r="A7" s="9" t="s">
        <v>8</v>
      </c>
      <c r="B7" s="11" t="s">
        <v>16</v>
      </c>
      <c r="C7" s="15">
        <v>0</v>
      </c>
      <c r="D7" t="s">
        <v>26</v>
      </c>
    </row>
    <row r="8" spans="1:4" x14ac:dyDescent="0.3">
      <c r="A8" s="9" t="s">
        <v>9</v>
      </c>
      <c r="B8" s="11" t="s">
        <v>16</v>
      </c>
      <c r="C8" s="14">
        <v>0</v>
      </c>
      <c r="D8" t="s">
        <v>26</v>
      </c>
    </row>
    <row r="9" spans="1:4" x14ac:dyDescent="0.3">
      <c r="A9" s="9" t="s">
        <v>24</v>
      </c>
      <c r="B9" s="11" t="s">
        <v>16</v>
      </c>
      <c r="C9" s="14">
        <v>0</v>
      </c>
      <c r="D9" t="s">
        <v>26</v>
      </c>
    </row>
    <row r="10" spans="1:4" x14ac:dyDescent="0.3">
      <c r="A10" s="9" t="s">
        <v>25</v>
      </c>
      <c r="B10" s="11" t="s">
        <v>16</v>
      </c>
      <c r="C10" s="14">
        <v>0</v>
      </c>
      <c r="D10" t="s">
        <v>26</v>
      </c>
    </row>
    <row r="11" spans="1:4" x14ac:dyDescent="0.3">
      <c r="A11" s="9" t="s">
        <v>10</v>
      </c>
      <c r="B11" s="11" t="s">
        <v>16</v>
      </c>
      <c r="C11" s="14">
        <v>0.28211755999999999</v>
      </c>
      <c r="D11" t="s">
        <v>28</v>
      </c>
    </row>
    <row r="12" spans="1:4" x14ac:dyDescent="0.3">
      <c r="A12" s="9" t="s">
        <v>11</v>
      </c>
      <c r="B12" s="11" t="s">
        <v>16</v>
      </c>
      <c r="C12" s="15">
        <f>C5</f>
        <v>0.81424608012106425</v>
      </c>
      <c r="D12" t="s">
        <v>28</v>
      </c>
    </row>
    <row r="13" spans="1:4" x14ac:dyDescent="0.3">
      <c r="A13" s="13" t="s">
        <v>12</v>
      </c>
      <c r="B13" s="11" t="s">
        <v>16</v>
      </c>
      <c r="C13" s="18">
        <v>-1</v>
      </c>
      <c r="D13" t="s">
        <v>29</v>
      </c>
    </row>
    <row r="14" spans="1:4" x14ac:dyDescent="0.3">
      <c r="A14" s="13" t="s">
        <v>20</v>
      </c>
      <c r="B14" s="11" t="s">
        <v>16</v>
      </c>
      <c r="C14" s="15">
        <f>C5</f>
        <v>0.81424608012106425</v>
      </c>
      <c r="D14" t="s">
        <v>28</v>
      </c>
    </row>
    <row r="15" spans="1:4" ht="15" thickBot="1" x14ac:dyDescent="0.35">
      <c r="A15" s="16" t="s">
        <v>23</v>
      </c>
      <c r="B15" s="8" t="s">
        <v>16</v>
      </c>
      <c r="C15" s="19">
        <v>1</v>
      </c>
      <c r="D15" t="s">
        <v>29</v>
      </c>
    </row>
    <row r="16" spans="1:4" x14ac:dyDescent="0.3">
      <c r="A16" s="17" t="s">
        <v>21</v>
      </c>
      <c r="B16" s="11" t="s">
        <v>16</v>
      </c>
      <c r="C16" s="30">
        <v>0</v>
      </c>
      <c r="D16" t="s">
        <v>27</v>
      </c>
    </row>
    <row r="17" spans="1:4" ht="15" thickBot="1" x14ac:dyDescent="0.35">
      <c r="A17" s="10" t="s">
        <v>22</v>
      </c>
      <c r="B17" s="8" t="s">
        <v>16</v>
      </c>
      <c r="C17" s="31">
        <v>0</v>
      </c>
      <c r="D17" t="s">
        <v>27</v>
      </c>
    </row>
    <row r="18" spans="1:4" ht="15" thickBot="1" x14ac:dyDescent="0.35">
      <c r="A18" s="10" t="s">
        <v>17</v>
      </c>
      <c r="B18" s="8" t="s">
        <v>16</v>
      </c>
      <c r="C18" s="31">
        <v>3.8279000000000001</v>
      </c>
      <c r="D18" t="s">
        <v>40</v>
      </c>
    </row>
    <row r="19" spans="1:4" ht="15" thickBot="1" x14ac:dyDescent="0.35">
      <c r="A19" s="10" t="s">
        <v>18</v>
      </c>
      <c r="B19" s="8" t="s">
        <v>16</v>
      </c>
      <c r="C19" s="31">
        <v>0</v>
      </c>
      <c r="D19" t="s">
        <v>27</v>
      </c>
    </row>
    <row r="20" spans="1:4" ht="15" thickBot="1" x14ac:dyDescent="0.35">
      <c r="A20" s="10" t="s">
        <v>19</v>
      </c>
      <c r="B20" s="8" t="s">
        <v>16</v>
      </c>
      <c r="C20" s="31">
        <v>0</v>
      </c>
      <c r="D20" t="s">
        <v>27</v>
      </c>
    </row>
    <row r="21" spans="1:4" ht="15" thickBot="1" x14ac:dyDescent="0.35">
      <c r="A21" s="10" t="s">
        <v>35</v>
      </c>
      <c r="B21" s="8" t="s">
        <v>16</v>
      </c>
      <c r="C21" s="7">
        <v>1</v>
      </c>
      <c r="D21" t="s">
        <v>29</v>
      </c>
    </row>
    <row r="22" spans="1:4" ht="15" thickBot="1" x14ac:dyDescent="0.35">
      <c r="A22" s="10" t="s">
        <v>36</v>
      </c>
      <c r="B22" s="8" t="s">
        <v>16</v>
      </c>
      <c r="C22" s="7">
        <v>1</v>
      </c>
      <c r="D22" t="s">
        <v>29</v>
      </c>
    </row>
    <row r="23" spans="1:4" ht="15" thickBot="1" x14ac:dyDescent="0.35">
      <c r="A23" s="10" t="s">
        <v>37</v>
      </c>
      <c r="B23" s="8" t="s">
        <v>16</v>
      </c>
      <c r="C23" s="7">
        <v>1</v>
      </c>
      <c r="D23" t="s">
        <v>29</v>
      </c>
    </row>
    <row r="24" spans="1:4" ht="15" thickBot="1" x14ac:dyDescent="0.35">
      <c r="A24" s="10" t="s">
        <v>38</v>
      </c>
      <c r="B24" s="8" t="s">
        <v>16</v>
      </c>
      <c r="C24" s="7">
        <v>1</v>
      </c>
      <c r="D24" t="s">
        <v>29</v>
      </c>
    </row>
    <row r="25" spans="1:4" ht="15" thickBot="1" x14ac:dyDescent="0.35">
      <c r="A25" s="10" t="s">
        <v>39</v>
      </c>
      <c r="B25" s="8" t="s">
        <v>16</v>
      </c>
      <c r="C25" s="7">
        <v>1</v>
      </c>
      <c r="D25" t="s">
        <v>29</v>
      </c>
    </row>
    <row r="26" spans="1:4" x14ac:dyDescent="0.3">
      <c r="A26" s="20" t="s">
        <v>3</v>
      </c>
      <c r="B26" s="21" t="s">
        <v>30</v>
      </c>
      <c r="C26" s="22">
        <v>1</v>
      </c>
    </row>
    <row r="27" spans="1:4" x14ac:dyDescent="0.3">
      <c r="A27" s="23" t="s">
        <v>5</v>
      </c>
      <c r="B27" s="24" t="s">
        <v>31</v>
      </c>
      <c r="C27" s="25">
        <v>1</v>
      </c>
    </row>
    <row r="28" spans="1:4" x14ac:dyDescent="0.3">
      <c r="A28" s="23" t="s">
        <v>4</v>
      </c>
      <c r="B28" s="24" t="s">
        <v>31</v>
      </c>
      <c r="C28" s="25">
        <v>1</v>
      </c>
    </row>
    <row r="29" spans="1:4" x14ac:dyDescent="0.3">
      <c r="A29" s="26" t="s">
        <v>7</v>
      </c>
      <c r="B29" s="24" t="s">
        <v>32</v>
      </c>
      <c r="C29" s="25">
        <v>1</v>
      </c>
    </row>
    <row r="30" spans="1:4" x14ac:dyDescent="0.3">
      <c r="A30" s="26" t="s">
        <v>7</v>
      </c>
      <c r="B30" s="24" t="s">
        <v>33</v>
      </c>
      <c r="C30" s="25">
        <v>1</v>
      </c>
    </row>
    <row r="31" spans="1:4" x14ac:dyDescent="0.3">
      <c r="A31" s="26" t="s">
        <v>10</v>
      </c>
      <c r="B31" s="24" t="s">
        <v>32</v>
      </c>
      <c r="C31" s="25">
        <v>1</v>
      </c>
    </row>
    <row r="32" spans="1:4" x14ac:dyDescent="0.3">
      <c r="A32" s="26" t="s">
        <v>11</v>
      </c>
      <c r="B32" s="24" t="s">
        <v>32</v>
      </c>
      <c r="C32" s="25">
        <v>1</v>
      </c>
    </row>
    <row r="33" spans="1:3" x14ac:dyDescent="0.3">
      <c r="A33" s="26" t="s">
        <v>11</v>
      </c>
      <c r="B33" s="24" t="s">
        <v>33</v>
      </c>
      <c r="C33" s="25">
        <v>1</v>
      </c>
    </row>
    <row r="34" spans="1:3" ht="15" thickBot="1" x14ac:dyDescent="0.35">
      <c r="A34" s="27" t="s">
        <v>11</v>
      </c>
      <c r="B34" s="28" t="s">
        <v>34</v>
      </c>
      <c r="C34" s="29">
        <v>1</v>
      </c>
    </row>
  </sheetData>
  <autoFilter ref="A1:D13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sheetPr>
    <tabColor rgb="FFFFC000"/>
  </sheetPr>
  <dimension ref="A1:E1"/>
  <sheetViews>
    <sheetView workbookViewId="0"/>
  </sheetViews>
  <sheetFormatPr defaultColWidth="9.109375" defaultRowHeight="14.4" x14ac:dyDescent="0.3"/>
  <cols>
    <col min="1" max="1" width="18.44140625" bestFit="1" customWidth="1"/>
    <col min="2" max="2" width="12.88671875" bestFit="1" customWidth="1"/>
    <col min="3" max="3" width="19.88671875" bestFit="1" customWidth="1"/>
    <col min="4" max="4" width="16.109375" bestFit="1" customWidth="1"/>
    <col min="5" max="5" width="13" bestFit="1" customWidth="1"/>
  </cols>
  <sheetData>
    <row r="1" spans="1:5" ht="15" thickBot="1" x14ac:dyDescent="0.35">
      <c r="A1" s="4" t="s">
        <v>0</v>
      </c>
      <c r="B1" s="3" t="s">
        <v>13</v>
      </c>
      <c r="C1" s="3" t="s">
        <v>2</v>
      </c>
      <c r="D1" s="3" t="s">
        <v>14</v>
      </c>
      <c r="E1" s="3" t="s">
        <v>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94A9CD-31A0-4C50-A0CF-CE9EBD43ED14}"/>
</file>

<file path=customXml/itemProps2.xml><?xml version="1.0" encoding="utf-8"?>
<ds:datastoreItem xmlns:ds="http://schemas.openxmlformats.org/officeDocument/2006/customXml" ds:itemID="{0EC1CB49-63A2-4BB9-A6E1-B93BAD25C62D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69F79AB8-49D9-484F-991A-27FAE0E62C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GHGs</vt:lpstr>
      <vt:lpstr>Externalities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Ignacio  Alfaro Corrales</cp:lastModifiedBy>
  <cp:revision/>
  <dcterms:created xsi:type="dcterms:W3CDTF">2015-06-05T18:17:20Z</dcterms:created>
  <dcterms:modified xsi:type="dcterms:W3CDTF">2025-07-03T15:32:42Z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